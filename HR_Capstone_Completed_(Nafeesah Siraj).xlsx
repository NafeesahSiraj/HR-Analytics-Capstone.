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BD30979D-E96B-41F6-B461-5A0D8C2168B1}" xr6:coauthVersionLast="47" xr6:coauthVersionMax="47" xr10:uidLastSave="{00000000-0000-0000-0000-000000000000}"/>
  <bookViews>
    <workbookView xWindow="-110" yWindow="-110" windowWidth="19420" windowHeight="10300" firstSheet="1" activeTab="5" xr2:uid="{00000000-000D-0000-FFFF-FFFF00000000}"/>
  </bookViews>
  <sheets>
    <sheet name="Raw_Employee_Data" sheetId="1" r:id="rId1"/>
    <sheet name="Lookup_Departments" sheetId="2" r:id="rId2"/>
    <sheet name="Lookup_Performance" sheetId="3" r:id="rId3"/>
    <sheet name="Analysis" sheetId="4" r:id="rId4"/>
    <sheet name="KPIs" sheetId="8" r:id="rId5"/>
    <sheet name="HR Dashboard" sheetId="10" r:id="rId6"/>
  </sheets>
  <definedNames>
    <definedName name="Slicer_Department_Name">#N/A</definedName>
    <definedName name="Slicer_Emp_ID">#N/A</definedName>
    <definedName name="Slicer_Employment_satus">#N/A</definedName>
  </definedNames>
  <calcPr calcId="191029"/>
  <pivotCaches>
    <pivotCache cacheId="2" r:id="rId7"/>
    <pivotCache cacheId="3"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3" i="1"/>
  <c r="I4" i="1"/>
  <c r="I5" i="1"/>
  <c r="I6" i="1"/>
  <c r="I7" i="1"/>
  <c r="I8" i="1"/>
  <c r="I9" i="1"/>
  <c r="I10" i="1"/>
  <c r="I11" i="1"/>
  <c r="I12" i="1"/>
  <c r="I13" i="1"/>
  <c r="I14" i="1"/>
  <c r="I15" i="1"/>
  <c r="I16" i="1"/>
  <c r="I17" i="1"/>
  <c r="I18" i="1"/>
  <c r="I2" i="1"/>
</calcChain>
</file>

<file path=xl/sharedStrings.xml><?xml version="1.0" encoding="utf-8"?>
<sst xmlns="http://schemas.openxmlformats.org/spreadsheetml/2006/main" count="834" uniqueCount="234">
  <si>
    <t>Emp ID</t>
  </si>
  <si>
    <t>First_Name</t>
  </si>
  <si>
    <t>Last_Name</t>
  </si>
  <si>
    <t>Hire Date</t>
  </si>
  <si>
    <t>Salary</t>
  </si>
  <si>
    <t>Perf_Score</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</si>
  <si>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</si>
  <si>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</si>
  <si>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</si>
  <si>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</si>
  <si>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</si>
  <si>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</si>
  <si>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</si>
  <si>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</si>
  <si>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</si>
  <si>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</si>
  <si>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</si>
  <si>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</si>
  <si>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</si>
  <si>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</si>
  <si>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</si>
  <si>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</si>
  <si>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</si>
  <si>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</si>
  <si>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</si>
  <si>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</si>
  <si>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</si>
  <si>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</si>
  <si>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</si>
  <si>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</si>
  <si>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</si>
  <si>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</si>
  <si>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</si>
  <si>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</si>
  <si>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</si>
  <si>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</si>
  <si>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</si>
  <si>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</si>
  <si>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</si>
  <si>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</si>
  <si>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</si>
  <si>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</si>
  <si>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</si>
  <si>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</si>
  <si>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</si>
  <si>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</si>
  <si>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</si>
  <si>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</si>
  <si>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</si>
  <si>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</si>
  <si>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</si>
  <si>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</si>
  <si>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</si>
  <si>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</si>
  <si>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</si>
  <si>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</si>
  <si>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</si>
  <si>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</si>
  <si>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</si>
  <si>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</si>
  <si>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</si>
  <si>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</si>
  <si>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</si>
  <si>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</si>
  <si>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</si>
  <si>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</si>
  <si>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</si>
  <si>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</si>
  <si>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</si>
  <si>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</si>
  <si>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</si>
  <si>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</si>
  <si>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</si>
  <si>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</si>
  <si>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</si>
  <si>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</si>
  <si>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</si>
  <si>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</si>
  <si>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</si>
  <si>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</si>
  <si>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</si>
  <si>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</si>
  <si>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</si>
  <si>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</si>
  <si>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</si>
  <si>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</si>
  <si>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</si>
  <si>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</si>
  <si>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</si>
  <si>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</si>
  <si>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</si>
  <si>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</si>
  <si>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</si>
  <si>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</si>
  <si>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</si>
  <si>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</si>
  <si>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</si>
  <si>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</si>
  <si>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</si>
  <si>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</si>
  <si>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</si>
  <si>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</si>
  <si>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</si>
  <si>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</si>
  <si>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</si>
  <si>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</si>
  <si>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</si>
  <si>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</si>
  <si>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</si>
  <si>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</si>
  <si>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</si>
  <si>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</si>
  <si>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</si>
  <si>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</si>
  <si>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</si>
  <si>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</si>
  <si>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</si>
  <si>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</si>
  <si>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</si>
  <si>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</si>
  <si>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</si>
  <si>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</si>
  <si>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</si>
  <si>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</si>
  <si>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</si>
  <si>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</si>
  <si>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</si>
  <si>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</si>
  <si>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</si>
  <si>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</si>
  <si>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</si>
  <si>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</si>
  <si>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</si>
  <si>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</si>
  <si>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</si>
  <si>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</si>
  <si>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</si>
  <si>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</si>
  <si>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</si>
  <si>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</si>
  <si>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</si>
  <si>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</si>
  <si>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</si>
  <si>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</si>
  <si>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</si>
  <si>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</si>
  <si>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</si>
  <si>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</si>
  <si>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</si>
  <si>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</si>
  <si>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</si>
  <si>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</si>
  <si>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</si>
  <si>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</si>
  <si>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</si>
  <si>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</si>
  <si>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</si>
  <si>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</si>
  <si>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</si>
  <si>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</si>
  <si>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</si>
  <si>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</si>
  <si>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</si>
  <si>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</si>
  <si>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</si>
  <si>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</si>
  <si>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</si>
  <si>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</si>
  <si>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</si>
  <si>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</si>
  <si>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</si>
  <si>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</si>
  <si>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</si>
  <si>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</si>
  <si>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</si>
  <si>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</si>
  <si>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</si>
  <si>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</si>
  <si>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</si>
  <si>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</si>
  <si>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</si>
  <si>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</si>
  <si>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</si>
  <si>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</si>
  <si>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</si>
  <si>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</si>
  <si>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</si>
  <si>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</si>
  <si>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</si>
  <si>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</si>
  <si>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</si>
  <si>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</si>
  <si>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</si>
  <si>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</si>
  <si>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</si>
  <si>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</si>
  <si>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</si>
  <si>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</si>
  <si>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</si>
  <si>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</si>
  <si>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</si>
  <si>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</si>
  <si>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</si>
  <si>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</si>
  <si>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</si>
  <si>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</si>
  <si>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</si>
  <si>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</si>
  <si>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</si>
  <si>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</si>
  <si>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</si>
  <si>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</si>
  <si>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 xml:space="preserve">Employment satus </t>
  </si>
  <si>
    <t xml:space="preserve">Dept code </t>
  </si>
  <si>
    <t>Full Name</t>
  </si>
  <si>
    <t>Department Name</t>
  </si>
  <si>
    <t>Years of Service</t>
  </si>
  <si>
    <t>Performance Band</t>
  </si>
  <si>
    <t>Eligible Bonus Amount</t>
  </si>
  <si>
    <t>Row Labels</t>
  </si>
  <si>
    <t>Count of Emp ID</t>
  </si>
  <si>
    <t>Department</t>
  </si>
  <si>
    <t>Attrition Rate</t>
  </si>
  <si>
    <t>Attrition rate</t>
  </si>
  <si>
    <t>Average of Perf_Score</t>
  </si>
  <si>
    <t>Employee Status</t>
  </si>
  <si>
    <t>No Score</t>
  </si>
  <si>
    <t>Sum of Eligible Bonus Amount</t>
  </si>
  <si>
    <t>Headcount &amp; Salary</t>
  </si>
  <si>
    <r>
      <t xml:space="preserve">                         </t>
    </r>
    <r>
      <rPr>
        <b/>
        <sz val="14"/>
        <color theme="1"/>
        <rFont val="Calibri"/>
        <family val="2"/>
        <scheme val="minor"/>
      </rPr>
      <t xml:space="preserve"> Performance By Status</t>
    </r>
  </si>
  <si>
    <r>
      <t xml:space="preserve">                                   </t>
    </r>
    <r>
      <rPr>
        <b/>
        <sz val="16"/>
        <color theme="1"/>
        <rFont val="Calibri"/>
        <family val="2"/>
        <scheme val="minor"/>
      </rPr>
      <t>Bonus Payout</t>
    </r>
  </si>
  <si>
    <t>Average Salary</t>
  </si>
  <si>
    <t>Total Employee</t>
  </si>
  <si>
    <t>No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</si>
</sst>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7" formatCode="&quot;$&quot;#,##0.00_);\(&quot;$&quot;#,##0.00\)"/>
    <numFmt numFmtId="164" formatCode="&quot;$&quot;#,##0.00"/>
    <numFmt numFmtId="165" formatCode="&quot;$&quot;#,##0"/>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16"/>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14" fontId="0" fillId="0" borderId="0" xfId="0" applyNumberFormat="1"/>
    <xf numFmtId="0" fontId="3" fillId="0" borderId="0" xfId="0" applyFont="1"/>
    <xf numFmtId="7" fontId="3" fillId="0" borderId="0" xfId="0" applyNumberFormat="1" applyFont="1"/>
    <xf numFmtId="7" fontId="0" fillId="0" borderId="0" xfId="0" applyNumberFormat="1"/>
    <xf numFmtId="164" fontId="4"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6" fillId="2" borderId="0" xfId="0" applyFont="1" applyFill="1"/>
    <xf numFmtId="0" fontId="5" fillId="2" borderId="0" xfId="0" applyFont="1" applyFill="1"/>
    <xf numFmtId="0" fontId="0" fillId="2" borderId="0" xfId="0" applyFill="1"/>
    <xf numFmtId="0" fontId="0" fillId="3" borderId="0" xfId="0" applyFill="1"/>
    <xf numFmtId="0" fontId="0" fillId="4" borderId="0" xfId="0" applyFill="1"/>
    <xf numFmtId="9" fontId="0" fillId="0" borderId="0" xfId="1" applyFont="1"/>
    <xf numFmtId="165" fontId="0" fillId="0" borderId="0" xfId="0" applyNumberFormat="1"/>
    <xf numFmtId="5" fontId="0" fillId="0" borderId="0" xfId="0" applyNumberFormat="1"/>
    <xf numFmtId="0" fontId="0" fillId="5" borderId="0" xfId="0" applyFill="1"/>
    <xf numFmtId="9" fontId="0" fillId="5" borderId="0" xfId="1" applyFont="1" applyFill="1"/>
    <xf numFmtId="1" fontId="0" fillId="0" borderId="0" xfId="0" applyNumberFormat="1"/>
  </cellXfs>
  <cellStyles count="2">
    <cellStyle name="Normal" xfId="0" builtinId="0"/>
    <cellStyle name="Percent" xfId="1" builtinId="5"/>
  </cellStyles>
  <dxfs count="11">
    <dxf>
      <numFmt numFmtId="165" formatCode="&quot;$&quot;#,##0"/>
    </dxf>
    <dxf>
      <numFmt numFmtId="164" formatCode="&quot;$&quot;#,##0.00"/>
    </dxf>
    <dxf>
      <numFmt numFmtId="165" formatCode="&quot;$&quot;#,##0"/>
    </dxf>
    <dxf>
      <numFmt numFmtId="164" formatCode="&quot;$&quot;#,##0.00"/>
    </dxf>
    <dxf>
      <numFmt numFmtId="1" formatCode="0"/>
    </dxf>
    <dxf>
      <numFmt numFmtId="1" formatCode="0"/>
    </dxf>
    <dxf>
      <numFmt numFmtId="1" formatCode="0"/>
    </dxf>
    <dxf>
      <numFmt numFmtId="11" formatCode="&quot;$&quot;#,##0.00_);\(&quot;$&quot;#,##0.00\)"/>
    </dxf>
    <dxf>
      <numFmt numFmtId="164" formatCode="&quot;$&quot;#,##0.00"/>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CDDD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Siraj).xlsx]Analysis!PivotTable1</c:name>
    <c:fmtId val="13"/>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6257180885009"/>
          <c:y val="0.18191596018142048"/>
          <c:w val="0.77402859987994777"/>
          <c:h val="0.43058666596636069"/>
        </c:manualLayout>
      </c:layout>
      <c:barChart>
        <c:barDir val="col"/>
        <c:grouping val="clustered"/>
        <c:varyColors val="0"/>
        <c:ser>
          <c:idx val="0"/>
          <c:order val="0"/>
          <c:tx>
            <c:strRef>
              <c:f>Analysis!$B$3</c:f>
              <c:strCache>
                <c:ptCount val="1"/>
                <c:pt idx="0">
                  <c:v>Count of Emp ID</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Analysis!$A$4:$A$9</c:f>
              <c:strCache>
                <c:ptCount val="6"/>
                <c:pt idx="0">
                  <c:v>Finance</c:v>
                </c:pt>
                <c:pt idx="1">
                  <c:v>Human Resources</c:v>
                </c:pt>
                <c:pt idx="2">
                  <c:v>Information Technology</c:v>
                </c:pt>
                <c:pt idx="3">
                  <c:v>Marketing</c:v>
                </c:pt>
                <c:pt idx="4">
                  <c:v>Operations</c:v>
                </c:pt>
                <c:pt idx="5">
                  <c:v>Sales</c:v>
                </c:pt>
              </c:strCache>
            </c:strRef>
          </c:cat>
          <c:val>
            <c:numRef>
              <c:f>Analysis!$B$4:$B$9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11-A469-48E8-8BCE-1B5EAF43E186}"/>
            </c:ext>
          </c:extLst>
        </c:ser>
        <c:ser>
          <c:idx val="1"/>
          <c:order val="1"/>
          <c:tx>
            <c:strRef>
              <c:f>Analysis!$C$3</c:f>
              <c:strCache>
                <c:ptCount val="1"/>
                <c:pt idx="0">
                  <c:v>Average Salary</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Analysis!$A$4:$A$9</c:f>
              <c:strCache>
                <c:ptCount val="6"/>
                <c:pt idx="0">
                  <c:v>Finance</c:v>
                </c:pt>
                <c:pt idx="1">
                  <c:v>Human Resources</c:v>
                </c:pt>
                <c:pt idx="2">
                  <c:v>Information Technology</c:v>
                </c:pt>
                <c:pt idx="3">
                  <c:v>Marketing</c:v>
                </c:pt>
                <c:pt idx="4">
                  <c:v>Operations</c:v>
                </c:pt>
                <c:pt idx="5">
                  <c:v>Sales</c:v>
                </c:pt>
              </c:strCache>
            </c:strRef>
          </c:cat>
          <c:val>
            <c:numRef>
              <c:f>Analysis!$C$4:$C$9</c:f>
              <c:numCache>
                <c:formatCode>"$"#,##0</c:formatCode>
                <c:ptCount val="6"/>
                <c:pt idx="0">
                  <c:v>87938.5</c:v>
                </c:pt>
                <c:pt idx="1">
                  <c:v>85649.941176470587</c:v>
                </c:pt>
                <c:pt idx="2">
                  <c:v>80014.258064516136</c:v>
                </c:pt>
                <c:pt idx="3">
                  <c:v>84192.705882352937</c:v>
                </c:pt>
                <c:pt idx="4">
                  <c:v>79786.666666666672</c:v>
                </c:pt>
                <c:pt idx="5">
                  <c:v>87282.34782608696</c:v>
                </c:pt>
              </c:numCache>
            </c:numRef>
          </c:val>
          <c:extLst>
            <c:ext xmlns:c16="http://schemas.microsoft.com/office/drawing/2014/chart" uri="{C3380CC4-5D6E-409C-BE32-E72D297353CC}">
              <c16:uniqueId val="{00000012-A469-48E8-8BCE-1B5EAF43E186}"/>
            </c:ext>
          </c:extLst>
        </c:ser>
        <c:dLbls>
          <c:showLegendKey val="0"/>
          <c:showVal val="0"/>
          <c:showCatName val="0"/>
          <c:showSerName val="0"/>
          <c:showPercent val="0"/>
          <c:showBubbleSize val="0"/>
        </c:dLbls>
        <c:gapWidth val="100"/>
        <c:overlap val="-24"/>
        <c:axId val="1416328432"/>
        <c:axId val="1599712736"/>
      </c:barChart>
      <c:catAx>
        <c:axId val="14163284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bg2">
                        <a:lumMod val="10000"/>
                      </a:schemeClr>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599712736"/>
        <c:crosses val="autoZero"/>
        <c:auto val="1"/>
        <c:lblAlgn val="ctr"/>
        <c:lblOffset val="100"/>
        <c:noMultiLvlLbl val="0"/>
      </c:catAx>
      <c:valAx>
        <c:axId val="1599712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r>
                  <a:rPr lang="en-US">
                    <a:solidFill>
                      <a:schemeClr val="bg2">
                        <a:lumMod val="10000"/>
                      </a:schemeClr>
                    </a:solidFill>
                  </a:rPr>
                  <a:t>Average Salary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1632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Siraj).xlsx]Analysis!PivotTable2</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2860008800256"/>
          <c:y val="0.11899998941234137"/>
          <c:w val="0.80461892278893554"/>
          <c:h val="0.65870028393609292"/>
        </c:manualLayout>
      </c:layout>
      <c:barChart>
        <c:barDir val="col"/>
        <c:grouping val="clustered"/>
        <c:varyColors val="0"/>
        <c:ser>
          <c:idx val="0"/>
          <c:order val="0"/>
          <c:tx>
            <c:strRef>
              <c:f>Analysis!$F$3:$F$4</c:f>
              <c:strCache>
                <c:ptCount val="1"/>
                <c:pt idx="0">
                  <c:v>Active</c:v>
                </c:pt>
              </c:strCache>
            </c:strRef>
          </c:tx>
          <c:spPr>
            <a:solidFill>
              <a:schemeClr val="accent3">
                <a:tint val="65000"/>
              </a:schemeClr>
            </a:solidFill>
            <a:ln>
              <a:noFill/>
            </a:ln>
            <a:effectLst/>
          </c:spPr>
          <c:invertIfNegative val="0"/>
          <c:cat>
            <c:strRef>
              <c:f>Analysis!$E$5:$E$10</c:f>
              <c:strCache>
                <c:ptCount val="6"/>
                <c:pt idx="0">
                  <c:v>Finance</c:v>
                </c:pt>
                <c:pt idx="1">
                  <c:v>Human Resources</c:v>
                </c:pt>
                <c:pt idx="2">
                  <c:v>Information Technology</c:v>
                </c:pt>
                <c:pt idx="3">
                  <c:v>Marketing</c:v>
                </c:pt>
                <c:pt idx="4">
                  <c:v>Operations</c:v>
                </c:pt>
                <c:pt idx="5">
                  <c:v>Sales</c:v>
                </c:pt>
              </c:strCache>
            </c:strRef>
          </c:cat>
          <c:val>
            <c:numRef>
              <c:f>Analysis!$F$5:$F$10</c:f>
              <c:numCache>
                <c:formatCode>0.00%</c:formatCode>
                <c:ptCount val="6"/>
                <c:pt idx="0">
                  <c:v>0.1206896551724138</c:v>
                </c:pt>
                <c:pt idx="1">
                  <c:v>0.12931034482758622</c:v>
                </c:pt>
                <c:pt idx="2">
                  <c:v>0.2413793103448276</c:v>
                </c:pt>
                <c:pt idx="3">
                  <c:v>0.13793103448275862</c:v>
                </c:pt>
                <c:pt idx="4">
                  <c:v>0.15517241379310345</c:v>
                </c:pt>
                <c:pt idx="5">
                  <c:v>0.21551724137931033</c:v>
                </c:pt>
              </c:numCache>
            </c:numRef>
          </c:val>
          <c:extLst>
            <c:ext xmlns:c16="http://schemas.microsoft.com/office/drawing/2014/chart" uri="{C3380CC4-5D6E-409C-BE32-E72D297353CC}">
              <c16:uniqueId val="{00000006-B419-44D0-BF85-74BE667D9B22}"/>
            </c:ext>
          </c:extLst>
        </c:ser>
        <c:ser>
          <c:idx val="1"/>
          <c:order val="1"/>
          <c:tx>
            <c:strRef>
              <c:f>Analysis!$G$3:$G$4</c:f>
              <c:strCache>
                <c:ptCount val="1"/>
                <c:pt idx="0">
                  <c:v>Left</c:v>
                </c:pt>
              </c:strCache>
            </c:strRef>
          </c:tx>
          <c:spPr>
            <a:solidFill>
              <a:schemeClr val="accent3"/>
            </a:solidFill>
            <a:ln>
              <a:noFill/>
            </a:ln>
            <a:effectLst/>
          </c:spPr>
          <c:invertIfNegative val="0"/>
          <c:cat>
            <c:strRef>
              <c:f>Analysis!$E$5:$E$10</c:f>
              <c:strCache>
                <c:ptCount val="6"/>
                <c:pt idx="0">
                  <c:v>Finance</c:v>
                </c:pt>
                <c:pt idx="1">
                  <c:v>Human Resources</c:v>
                </c:pt>
                <c:pt idx="2">
                  <c:v>Information Technology</c:v>
                </c:pt>
                <c:pt idx="3">
                  <c:v>Marketing</c:v>
                </c:pt>
                <c:pt idx="4">
                  <c:v>Operations</c:v>
                </c:pt>
                <c:pt idx="5">
                  <c:v>Sales</c:v>
                </c:pt>
              </c:strCache>
            </c:strRef>
          </c:cat>
          <c:val>
            <c:numRef>
              <c:f>Analysis!$G$5:$G$10</c:f>
              <c:numCache>
                <c:formatCode>0.00%</c:formatCode>
                <c:ptCount val="6"/>
                <c:pt idx="0">
                  <c:v>0.125</c:v>
                </c:pt>
                <c:pt idx="1">
                  <c:v>8.3333333333333329E-2</c:v>
                </c:pt>
                <c:pt idx="2">
                  <c:v>0.25</c:v>
                </c:pt>
                <c:pt idx="3">
                  <c:v>0.125</c:v>
                </c:pt>
                <c:pt idx="4">
                  <c:v>0.25</c:v>
                </c:pt>
                <c:pt idx="5">
                  <c:v>0.16666666666666666</c:v>
                </c:pt>
              </c:numCache>
            </c:numRef>
          </c:val>
          <c:extLst>
            <c:ext xmlns:c16="http://schemas.microsoft.com/office/drawing/2014/chart" uri="{C3380CC4-5D6E-409C-BE32-E72D297353CC}">
              <c16:uniqueId val="{000000A7-B419-44D0-BF85-74BE667D9B22}"/>
            </c:ext>
          </c:extLst>
        </c:ser>
        <c:ser>
          <c:idx val="2"/>
          <c:order val="2"/>
          <c:tx>
            <c:strRef>
              <c:f>Analysis!$H$3:$H$4</c:f>
              <c:strCache>
                <c:ptCount val="1"/>
                <c:pt idx="0">
                  <c:v>Resigned</c:v>
                </c:pt>
              </c:strCache>
            </c:strRef>
          </c:tx>
          <c:spPr>
            <a:solidFill>
              <a:schemeClr val="accent3">
                <a:shade val="65000"/>
              </a:schemeClr>
            </a:solidFill>
            <a:ln>
              <a:noFill/>
            </a:ln>
            <a:effectLst/>
          </c:spPr>
          <c:invertIfNegative val="0"/>
          <c:cat>
            <c:strRef>
              <c:f>Analysis!$E$5:$E$10</c:f>
              <c:strCache>
                <c:ptCount val="6"/>
                <c:pt idx="0">
                  <c:v>Finance</c:v>
                </c:pt>
                <c:pt idx="1">
                  <c:v>Human Resources</c:v>
                </c:pt>
                <c:pt idx="2">
                  <c:v>Information Technology</c:v>
                </c:pt>
                <c:pt idx="3">
                  <c:v>Marketing</c:v>
                </c:pt>
                <c:pt idx="4">
                  <c:v>Operations</c:v>
                </c:pt>
                <c:pt idx="5">
                  <c:v>Sales</c:v>
                </c:pt>
              </c:strCache>
            </c:strRef>
          </c:cat>
          <c:val>
            <c:numRef>
              <c:f>Analysis!$H$5:$H$10</c:f>
              <c:numCache>
                <c:formatCode>0.00%</c:formatCode>
                <c:ptCount val="6"/>
                <c:pt idx="0">
                  <c:v>0</c:v>
                </c:pt>
                <c:pt idx="1">
                  <c:v>0.1</c:v>
                </c:pt>
                <c:pt idx="2">
                  <c:v>0.2</c:v>
                </c:pt>
                <c:pt idx="3">
                  <c:v>0</c:v>
                </c:pt>
                <c:pt idx="4">
                  <c:v>0.5</c:v>
                </c:pt>
                <c:pt idx="5">
                  <c:v>0.2</c:v>
                </c:pt>
              </c:numCache>
            </c:numRef>
          </c:val>
          <c:extLst>
            <c:ext xmlns:c16="http://schemas.microsoft.com/office/drawing/2014/chart" uri="{C3380CC4-5D6E-409C-BE32-E72D297353CC}">
              <c16:uniqueId val="{000000A8-B419-44D0-BF85-74BE667D9B22}"/>
            </c:ext>
          </c:extLst>
        </c:ser>
        <c:dLbls>
          <c:showLegendKey val="0"/>
          <c:showVal val="0"/>
          <c:showCatName val="0"/>
          <c:showSerName val="0"/>
          <c:showPercent val="0"/>
          <c:showBubbleSize val="0"/>
        </c:dLbls>
        <c:gapWidth val="0"/>
        <c:axId val="1451198224"/>
        <c:axId val="1599724256"/>
      </c:barChart>
      <c:catAx>
        <c:axId val="145119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599724256"/>
        <c:crosses val="autoZero"/>
        <c:auto val="1"/>
        <c:lblAlgn val="ctr"/>
        <c:lblOffset val="100"/>
        <c:noMultiLvlLbl val="0"/>
      </c:catAx>
      <c:valAx>
        <c:axId val="1599724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t>Attrition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51198224"/>
        <c:crosses val="autoZero"/>
        <c:crossBetween val="between"/>
      </c:valAx>
      <c:spPr>
        <a:solidFill>
          <a:schemeClr val="accent3">
            <a:lumMod val="40000"/>
            <a:lumOff val="60000"/>
          </a:schemeClr>
        </a:solidFill>
        <a:ln>
          <a:noFill/>
        </a:ln>
        <a:effectLst/>
      </c:spPr>
    </c:plotArea>
    <c:legend>
      <c:legendPos val="r"/>
      <c:layout>
        <c:manualLayout>
          <c:xMode val="edge"/>
          <c:yMode val="edge"/>
          <c:x val="0.19785102209759334"/>
          <c:y val="0.19046668530924993"/>
          <c:w val="0.14568222659422436"/>
          <c:h val="0.20484249281712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DDAD"/>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Siraj).xlsx]Analysis!PivotTable3</c:name>
    <c:fmtId val="14"/>
  </c:pivotSource>
  <c:chart>
    <c:autoTitleDeleted val="1"/>
    <c:pivotFmts>
      <c:pivotFmt>
        <c:idx val="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926186931718928"/>
          <c:y val="3.2727009665111474E-2"/>
          <c:w val="0.84163175004469093"/>
          <c:h val="0.81840743199747212"/>
        </c:manualLayout>
      </c:layout>
      <c:barChart>
        <c:barDir val="col"/>
        <c:grouping val="clustered"/>
        <c:varyColors val="0"/>
        <c:ser>
          <c:idx val="0"/>
          <c:order val="0"/>
          <c:tx>
            <c:strRef>
              <c:f>Analysis!$B$15</c:f>
              <c:strCache>
                <c:ptCount val="1"/>
                <c:pt idx="0">
                  <c:v>Total</c:v>
                </c:pt>
              </c:strCache>
            </c:strRef>
          </c:tx>
          <c:spPr>
            <a:solidFill>
              <a:schemeClr val="accent3">
                <a:shade val="50000"/>
              </a:schemeClr>
            </a:solidFill>
            <a:ln>
              <a:noFill/>
            </a:ln>
            <a:effectLst/>
          </c:spPr>
          <c:invertIfNegative val="0"/>
          <c:cat>
            <c:strRef>
              <c:f>Analysis!$A$16:$A$18</c:f>
              <c:strCache>
                <c:ptCount val="3"/>
                <c:pt idx="0">
                  <c:v>Active</c:v>
                </c:pt>
                <c:pt idx="1">
                  <c:v>Left</c:v>
                </c:pt>
                <c:pt idx="2">
                  <c:v>Resigned</c:v>
                </c:pt>
              </c:strCache>
            </c:strRef>
          </c:cat>
          <c:val>
            <c:numRef>
              <c:f>Analysis!$B$16:$B$18</c:f>
              <c:numCache>
                <c:formatCode>0</c:formatCode>
                <c:ptCount val="3"/>
                <c:pt idx="0">
                  <c:v>67.724770642201833</c:v>
                </c:pt>
                <c:pt idx="1">
                  <c:v>66.130434782608702</c:v>
                </c:pt>
                <c:pt idx="2">
                  <c:v>76.400000000000006</c:v>
                </c:pt>
              </c:numCache>
            </c:numRef>
          </c:val>
          <c:extLst>
            <c:ext xmlns:c16="http://schemas.microsoft.com/office/drawing/2014/chart" uri="{C3380CC4-5D6E-409C-BE32-E72D297353CC}">
              <c16:uniqueId val="{00000000-29E4-4AEE-BB6F-F7F344BA2EA6}"/>
            </c:ext>
          </c:extLst>
        </c:ser>
        <c:dLbls>
          <c:showLegendKey val="0"/>
          <c:showVal val="0"/>
          <c:showCatName val="0"/>
          <c:showSerName val="0"/>
          <c:showPercent val="0"/>
          <c:showBubbleSize val="0"/>
        </c:dLbls>
        <c:gapWidth val="219"/>
        <c:overlap val="-27"/>
        <c:axId val="1451198224"/>
        <c:axId val="1599724256"/>
      </c:barChart>
      <c:catAx>
        <c:axId val="1451198224"/>
        <c:scaling>
          <c:orientation val="minMax"/>
        </c:scaling>
        <c:delete val="0"/>
        <c:axPos val="b"/>
        <c:title>
          <c:tx>
            <c:rich>
              <a:bodyPr rot="0" vert="horz"/>
              <a:lstStyle/>
              <a:p>
                <a:pPr>
                  <a:defRPr/>
                </a:pPr>
                <a:r>
                  <a:rPr lang="en-US"/>
                  <a:t>Department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99724256"/>
        <c:crosses val="autoZero"/>
        <c:auto val="1"/>
        <c:lblAlgn val="ctr"/>
        <c:lblOffset val="100"/>
        <c:noMultiLvlLbl val="0"/>
      </c:catAx>
      <c:valAx>
        <c:axId val="1599724256"/>
        <c:scaling>
          <c:orientation val="minMax"/>
        </c:scaling>
        <c:delete val="0"/>
        <c:axPos val="l"/>
        <c:title>
          <c:tx>
            <c:rich>
              <a:bodyPr rot="-5400000" vert="horz"/>
              <a:lstStyle/>
              <a:p>
                <a:pPr>
                  <a:defRPr/>
                </a:pPr>
                <a:r>
                  <a:rPr lang="en-US"/>
                  <a:t>Average Perf_Score</a:t>
                </a:r>
              </a:p>
            </c:rich>
          </c:tx>
          <c:overlay val="0"/>
          <c:spPr>
            <a:noFill/>
            <a:ln>
              <a:noFill/>
            </a:ln>
            <a:effectLst/>
          </c:spPr>
        </c:title>
        <c:numFmt formatCode="0" sourceLinked="1"/>
        <c:majorTickMark val="none"/>
        <c:minorTickMark val="none"/>
        <c:tickLblPos val="nextTo"/>
        <c:spPr>
          <a:noFill/>
          <a:ln>
            <a:noFill/>
          </a:ln>
          <a:effectLst/>
        </c:spPr>
        <c:txPr>
          <a:bodyPr rot="-60000000" vert="horz"/>
          <a:lstStyle/>
          <a:p>
            <a:pPr>
              <a:defRPr/>
            </a:pPr>
            <a:endParaRPr lang="en-US"/>
          </a:p>
        </c:txPr>
        <c:crossAx val="1451198224"/>
        <c:crosses val="autoZero"/>
        <c:crossBetween val="between"/>
      </c:valAx>
      <c:spPr>
        <a:solidFill>
          <a:schemeClr val="accent3">
            <a:lumMod val="60000"/>
            <a:lumOff val="40000"/>
          </a:schemeClr>
        </a:solidFill>
      </c:spPr>
    </c:plotArea>
    <c:legend>
      <c:legendPos val="r"/>
      <c:overlay val="0"/>
      <c:spPr>
        <a:noFill/>
        <a:ln>
          <a:noFill/>
        </a:ln>
        <a:effectLst/>
      </c:spPr>
      <c:txPr>
        <a:bodyPr rot="0" vert="horz"/>
        <a:lstStyle/>
        <a:p>
          <a:pPr>
            <a:defRPr>
              <a:solidFill>
                <a:schemeClr val="bg2">
                  <a:lumMod val="10000"/>
                </a:schemeClr>
              </a:solidFill>
            </a:defRPr>
          </a:pPr>
          <a:endParaRPr lang="en-US"/>
        </a:p>
      </c:txPr>
    </c:legend>
    <c:plotVisOnly val="1"/>
    <c:dispBlanksAs val="gap"/>
    <c:showDLblsOverMax val="0"/>
    <c:extLst/>
  </c:chart>
  <c:spPr>
    <a:solidFill>
      <a:schemeClr val="accent3">
        <a:lumMod val="60000"/>
        <a:lumOff val="40000"/>
      </a:schemeClr>
    </a:solidFill>
    <a:ln>
      <a:solidFill>
        <a:schemeClr val="bg2">
          <a:lumMod val="25000"/>
        </a:schemeClr>
      </a:solidFill>
    </a:ln>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53512</xdr:colOff>
      <xdr:row>0</xdr:row>
      <xdr:rowOff>150129</xdr:rowOff>
    </xdr:from>
    <xdr:to>
      <xdr:col>2</xdr:col>
      <xdr:colOff>105404</xdr:colOff>
      <xdr:row>15</xdr:row>
      <xdr:rowOff>96017</xdr:rowOff>
    </xdr:to>
    <xdr:sp macro="" textlink="">
      <xdr:nvSpPr>
        <xdr:cNvPr id="3" name="Rectangle 2">
          <a:extLst>
            <a:ext uri="{FF2B5EF4-FFF2-40B4-BE49-F238E27FC236}">
              <a16:creationId xmlns:a16="http://schemas.microsoft.com/office/drawing/2014/main" id="{F8EB7065-8233-80EE-191E-567FFAFD23BC}"/>
            </a:ext>
          </a:extLst>
        </xdr:cNvPr>
        <xdr:cNvSpPr/>
      </xdr:nvSpPr>
      <xdr:spPr>
        <a:xfrm>
          <a:off x="53512" y="150129"/>
          <a:ext cx="1267463" cy="2667317"/>
        </a:xfrm>
        <a:prstGeom prst="rect">
          <a:avLst/>
        </a:prstGeom>
        <a:solidFill>
          <a:schemeClr val="accent3">
            <a:lumMod val="40000"/>
            <a:lumOff val="60000"/>
          </a:schemeClr>
        </a:solidFill>
        <a:ln w="57150">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45349</xdr:colOff>
      <xdr:row>16</xdr:row>
      <xdr:rowOff>40177</xdr:rowOff>
    </xdr:from>
    <xdr:to>
      <xdr:col>2</xdr:col>
      <xdr:colOff>138989</xdr:colOff>
      <xdr:row>31</xdr:row>
      <xdr:rowOff>63500</xdr:rowOff>
    </xdr:to>
    <xdr:sp macro="" textlink="">
      <xdr:nvSpPr>
        <xdr:cNvPr id="4" name="Rectangle 3">
          <a:extLst>
            <a:ext uri="{FF2B5EF4-FFF2-40B4-BE49-F238E27FC236}">
              <a16:creationId xmlns:a16="http://schemas.microsoft.com/office/drawing/2014/main" id="{5D769EA5-8174-4F1B-8A1F-90FC3E02303E}"/>
            </a:ext>
          </a:extLst>
        </xdr:cNvPr>
        <xdr:cNvSpPr/>
      </xdr:nvSpPr>
      <xdr:spPr>
        <a:xfrm>
          <a:off x="45349" y="2943034"/>
          <a:ext cx="1309211" cy="2744752"/>
        </a:xfrm>
        <a:prstGeom prst="rect">
          <a:avLst/>
        </a:prstGeom>
        <a:solidFill>
          <a:schemeClr val="accent3">
            <a:lumMod val="40000"/>
            <a:lumOff val="60000"/>
          </a:schemeClr>
        </a:solidFill>
        <a:ln w="57150">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84575</xdr:colOff>
      <xdr:row>32</xdr:row>
      <xdr:rowOff>74650</xdr:rowOff>
    </xdr:from>
    <xdr:to>
      <xdr:col>2</xdr:col>
      <xdr:colOff>187738</xdr:colOff>
      <xdr:row>42</xdr:row>
      <xdr:rowOff>109727</xdr:rowOff>
    </xdr:to>
    <xdr:sp macro="" textlink="">
      <xdr:nvSpPr>
        <xdr:cNvPr id="5" name="Rectangle 4">
          <a:extLst>
            <a:ext uri="{FF2B5EF4-FFF2-40B4-BE49-F238E27FC236}">
              <a16:creationId xmlns:a16="http://schemas.microsoft.com/office/drawing/2014/main" id="{58CEE7A6-A761-49DE-B8C8-B8F5B0659531}"/>
            </a:ext>
          </a:extLst>
        </xdr:cNvPr>
        <xdr:cNvSpPr/>
      </xdr:nvSpPr>
      <xdr:spPr>
        <a:xfrm>
          <a:off x="84575" y="5880364"/>
          <a:ext cx="1318734" cy="1849363"/>
        </a:xfrm>
        <a:prstGeom prst="rect">
          <a:avLst/>
        </a:prstGeom>
        <a:solidFill>
          <a:schemeClr val="accent3">
            <a:lumMod val="60000"/>
            <a:lumOff val="40000"/>
          </a:schemeClr>
        </a:solidFill>
        <a:ln w="57150">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62270</xdr:colOff>
      <xdr:row>14</xdr:row>
      <xdr:rowOff>96353</xdr:rowOff>
    </xdr:from>
    <xdr:to>
      <xdr:col>26</xdr:col>
      <xdr:colOff>571499</xdr:colOff>
      <xdr:row>42</xdr:row>
      <xdr:rowOff>108857</xdr:rowOff>
    </xdr:to>
    <xdr:sp macro="" textlink="">
      <xdr:nvSpPr>
        <xdr:cNvPr id="18" name="Rectangle 17">
          <a:extLst>
            <a:ext uri="{FF2B5EF4-FFF2-40B4-BE49-F238E27FC236}">
              <a16:creationId xmlns:a16="http://schemas.microsoft.com/office/drawing/2014/main" id="{58D733DA-124A-8964-3C55-F77FA0D93E9A}"/>
            </a:ext>
          </a:extLst>
        </xdr:cNvPr>
        <xdr:cNvSpPr/>
      </xdr:nvSpPr>
      <xdr:spPr>
        <a:xfrm>
          <a:off x="1885627" y="2636353"/>
          <a:ext cx="14488301" cy="5092504"/>
        </a:xfrm>
        <a:prstGeom prst="rect">
          <a:avLst/>
        </a:prstGeom>
        <a:solidFill>
          <a:schemeClr val="accent3">
            <a:lumMod val="60000"/>
            <a:lumOff val="40000"/>
          </a:schemeClr>
        </a:solidFill>
        <a:ln w="57150">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363420</xdr:colOff>
      <xdr:row>16</xdr:row>
      <xdr:rowOff>90714</xdr:rowOff>
    </xdr:from>
    <xdr:to>
      <xdr:col>26</xdr:col>
      <xdr:colOff>317500</xdr:colOff>
      <xdr:row>39</xdr:row>
      <xdr:rowOff>63501</xdr:rowOff>
    </xdr:to>
    <xdr:sp macro="" textlink="">
      <xdr:nvSpPr>
        <xdr:cNvPr id="19" name="Rectangle: Rounded Corners 18">
          <a:extLst>
            <a:ext uri="{FF2B5EF4-FFF2-40B4-BE49-F238E27FC236}">
              <a16:creationId xmlns:a16="http://schemas.microsoft.com/office/drawing/2014/main" id="{937987FC-0C73-501B-231B-895DE217F62F}"/>
            </a:ext>
          </a:extLst>
        </xdr:cNvPr>
        <xdr:cNvSpPr/>
      </xdr:nvSpPr>
      <xdr:spPr>
        <a:xfrm>
          <a:off x="11911349" y="2993571"/>
          <a:ext cx="4208580" cy="4145644"/>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chemeClr val="bg2">
                <a:lumMod val="10000"/>
              </a:schemeClr>
            </a:solidFill>
            <a:latin typeface="Impact" panose="020B0806030902050204" pitchFamily="34" charset="0"/>
          </a:endParaRPr>
        </a:p>
      </xdr:txBody>
    </xdr:sp>
    <xdr:clientData/>
  </xdr:twoCellAnchor>
  <xdr:twoCellAnchor>
    <xdr:from>
      <xdr:col>3</xdr:col>
      <xdr:colOff>347136</xdr:colOff>
      <xdr:row>16</xdr:row>
      <xdr:rowOff>127001</xdr:rowOff>
    </xdr:from>
    <xdr:to>
      <xdr:col>10</xdr:col>
      <xdr:colOff>544288</xdr:colOff>
      <xdr:row>39</xdr:row>
      <xdr:rowOff>41906</xdr:rowOff>
    </xdr:to>
    <xdr:sp macro="" textlink="">
      <xdr:nvSpPr>
        <xdr:cNvPr id="21" name="Rectangle: Rounded Corners 20">
          <a:extLst>
            <a:ext uri="{FF2B5EF4-FFF2-40B4-BE49-F238E27FC236}">
              <a16:creationId xmlns:a16="http://schemas.microsoft.com/office/drawing/2014/main" id="{93BE5CB8-DC40-4999-9CEE-320101DDC6CA}"/>
            </a:ext>
          </a:extLst>
        </xdr:cNvPr>
        <xdr:cNvSpPr/>
      </xdr:nvSpPr>
      <xdr:spPr>
        <a:xfrm>
          <a:off x="2170493" y="3029858"/>
          <a:ext cx="4451652" cy="4087762"/>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a:solidFill>
              <a:schemeClr val="bg2">
                <a:lumMod val="10000"/>
              </a:schemeClr>
            </a:solidFill>
            <a:latin typeface="Impact" panose="020B0806030902050204" pitchFamily="34" charset="0"/>
          </a:endParaRPr>
        </a:p>
      </xdr:txBody>
    </xdr:sp>
    <xdr:clientData/>
  </xdr:twoCellAnchor>
  <xdr:twoCellAnchor>
    <xdr:from>
      <xdr:col>11</xdr:col>
      <xdr:colOff>353777</xdr:colOff>
      <xdr:row>16</xdr:row>
      <xdr:rowOff>136071</xdr:rowOff>
    </xdr:from>
    <xdr:to>
      <xdr:col>18</xdr:col>
      <xdr:colOff>598099</xdr:colOff>
      <xdr:row>39</xdr:row>
      <xdr:rowOff>108857</xdr:rowOff>
    </xdr:to>
    <xdr:sp macro="" textlink="">
      <xdr:nvSpPr>
        <xdr:cNvPr id="22" name="Rectangle: Rounded Corners 21">
          <a:extLst>
            <a:ext uri="{FF2B5EF4-FFF2-40B4-BE49-F238E27FC236}">
              <a16:creationId xmlns:a16="http://schemas.microsoft.com/office/drawing/2014/main" id="{41EA6F7B-7C2A-4541-9BF5-80922BF5BAD3}"/>
            </a:ext>
          </a:extLst>
        </xdr:cNvPr>
        <xdr:cNvSpPr/>
      </xdr:nvSpPr>
      <xdr:spPr>
        <a:xfrm>
          <a:off x="7039420" y="3038928"/>
          <a:ext cx="4498822" cy="4145643"/>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chemeClr val="bg2">
                <a:lumMod val="10000"/>
              </a:schemeClr>
            </a:solidFill>
            <a:latin typeface="Impact" panose="020B0806030902050204" pitchFamily="34" charset="0"/>
          </a:endParaRPr>
        </a:p>
      </xdr:txBody>
    </xdr:sp>
    <xdr:clientData/>
  </xdr:twoCellAnchor>
  <xdr:twoCellAnchor>
    <xdr:from>
      <xdr:col>3</xdr:col>
      <xdr:colOff>535217</xdr:colOff>
      <xdr:row>3</xdr:row>
      <xdr:rowOff>153581</xdr:rowOff>
    </xdr:from>
    <xdr:to>
      <xdr:col>24</xdr:col>
      <xdr:colOff>598717</xdr:colOff>
      <xdr:row>13</xdr:row>
      <xdr:rowOff>22953</xdr:rowOff>
    </xdr:to>
    <xdr:sp macro="" textlink="">
      <xdr:nvSpPr>
        <xdr:cNvPr id="23" name="Rectangle 22">
          <a:extLst>
            <a:ext uri="{FF2B5EF4-FFF2-40B4-BE49-F238E27FC236}">
              <a16:creationId xmlns:a16="http://schemas.microsoft.com/office/drawing/2014/main" id="{73DEDED5-7D08-4F3B-B66F-1326582E67D4}"/>
            </a:ext>
          </a:extLst>
        </xdr:cNvPr>
        <xdr:cNvSpPr/>
      </xdr:nvSpPr>
      <xdr:spPr>
        <a:xfrm>
          <a:off x="2358574" y="697867"/>
          <a:ext cx="12827000" cy="1683657"/>
        </a:xfrm>
        <a:prstGeom prst="rect">
          <a:avLst/>
        </a:prstGeom>
        <a:solidFill>
          <a:schemeClr val="accent3">
            <a:lumMod val="40000"/>
            <a:lumOff val="60000"/>
          </a:schemeClr>
        </a:solidFill>
        <a:ln w="57150">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endParaRPr lang="en-US" sz="1100" b="1" cap="none" spc="0">
            <a:ln/>
            <a:solidFill>
              <a:schemeClr val="accent3"/>
            </a:solidFill>
            <a:effectLst/>
          </a:endParaRPr>
        </a:p>
      </xdr:txBody>
    </xdr:sp>
    <xdr:clientData/>
  </xdr:twoCellAnchor>
  <xdr:twoCellAnchor>
    <xdr:from>
      <xdr:col>4</xdr:col>
      <xdr:colOff>144752</xdr:colOff>
      <xdr:row>4</xdr:row>
      <xdr:rowOff>18143</xdr:rowOff>
    </xdr:from>
    <xdr:to>
      <xdr:col>24</xdr:col>
      <xdr:colOff>274485</xdr:colOff>
      <xdr:row>6</xdr:row>
      <xdr:rowOff>162048</xdr:rowOff>
    </xdr:to>
    <xdr:sp macro="" textlink="">
      <xdr:nvSpPr>
        <xdr:cNvPr id="24" name="Rectangle: Rounded Corners 23">
          <a:extLst>
            <a:ext uri="{FF2B5EF4-FFF2-40B4-BE49-F238E27FC236}">
              <a16:creationId xmlns:a16="http://schemas.microsoft.com/office/drawing/2014/main" id="{9BC1FAF6-F60C-4F4E-AFA5-243917EA2216}"/>
            </a:ext>
          </a:extLst>
        </xdr:cNvPr>
        <xdr:cNvSpPr/>
      </xdr:nvSpPr>
      <xdr:spPr>
        <a:xfrm>
          <a:off x="2575895" y="743857"/>
          <a:ext cx="12285447" cy="506762"/>
        </a:xfrm>
        <a:prstGeom prst="roundRect">
          <a:avLst/>
        </a:prstGeom>
        <a:solidFill>
          <a:schemeClr val="accent3">
            <a:lumMod val="5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accent3">
                  <a:lumMod val="60000"/>
                  <a:lumOff val="40000"/>
                </a:schemeClr>
              </a:solidFill>
              <a:latin typeface="Impact" panose="020B0806030902050204" pitchFamily="34" charset="0"/>
            </a:rPr>
            <a:t>HR</a:t>
          </a:r>
          <a:r>
            <a:rPr lang="en-US" sz="2800" baseline="0">
              <a:solidFill>
                <a:schemeClr val="accent3">
                  <a:lumMod val="60000"/>
                  <a:lumOff val="40000"/>
                </a:schemeClr>
              </a:solidFill>
              <a:latin typeface="Impact" panose="020B0806030902050204" pitchFamily="34" charset="0"/>
            </a:rPr>
            <a:t> Analytics Dashboard</a:t>
          </a:r>
          <a:endParaRPr lang="en-US" sz="2800">
            <a:solidFill>
              <a:schemeClr val="accent3">
                <a:lumMod val="60000"/>
                <a:lumOff val="40000"/>
              </a:schemeClr>
            </a:solidFill>
            <a:latin typeface="Impact" panose="020B0806030902050204" pitchFamily="34" charset="0"/>
          </a:endParaRPr>
        </a:p>
      </xdr:txBody>
    </xdr:sp>
    <xdr:clientData/>
  </xdr:twoCellAnchor>
  <xdr:twoCellAnchor>
    <xdr:from>
      <xdr:col>5</xdr:col>
      <xdr:colOff>76773</xdr:colOff>
      <xdr:row>7</xdr:row>
      <xdr:rowOff>181400</xdr:rowOff>
    </xdr:from>
    <xdr:to>
      <xdr:col>10</xdr:col>
      <xdr:colOff>549157</xdr:colOff>
      <xdr:row>12</xdr:row>
      <xdr:rowOff>20836</xdr:rowOff>
    </xdr:to>
    <xdr:sp macro="" textlink="">
      <xdr:nvSpPr>
        <xdr:cNvPr id="25" name="Rectangle: Rounded Corners 24">
          <a:extLst>
            <a:ext uri="{FF2B5EF4-FFF2-40B4-BE49-F238E27FC236}">
              <a16:creationId xmlns:a16="http://schemas.microsoft.com/office/drawing/2014/main" id="{E7050AFF-DD77-4FC2-88B5-4956A73888A5}"/>
            </a:ext>
          </a:extLst>
        </xdr:cNvPr>
        <xdr:cNvSpPr/>
      </xdr:nvSpPr>
      <xdr:spPr>
        <a:xfrm>
          <a:off x="3115702" y="1451400"/>
          <a:ext cx="3511312" cy="746579"/>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10000"/>
                </a:schemeClr>
              </a:solidFill>
              <a:latin typeface="Impact" panose="020B0806030902050204" pitchFamily="34" charset="0"/>
            </a:rPr>
            <a:t>Total</a:t>
          </a:r>
          <a:r>
            <a:rPr lang="en-US" sz="1400" baseline="0">
              <a:solidFill>
                <a:schemeClr val="bg2">
                  <a:lumMod val="10000"/>
                </a:schemeClr>
              </a:solidFill>
              <a:latin typeface="Impact" panose="020B0806030902050204" pitchFamily="34" charset="0"/>
            </a:rPr>
            <a:t> Employees</a:t>
          </a:r>
          <a:endParaRPr lang="en-US" sz="1400">
            <a:solidFill>
              <a:schemeClr val="bg2">
                <a:lumMod val="10000"/>
              </a:schemeClr>
            </a:solidFill>
            <a:latin typeface="Impact" panose="020B0806030902050204" pitchFamily="34" charset="0"/>
          </a:endParaRPr>
        </a:p>
      </xdr:txBody>
    </xdr:sp>
    <xdr:clientData/>
  </xdr:twoCellAnchor>
  <xdr:twoCellAnchor>
    <xdr:from>
      <xdr:col>11</xdr:col>
      <xdr:colOff>464293</xdr:colOff>
      <xdr:row>8</xdr:row>
      <xdr:rowOff>20835</xdr:rowOff>
    </xdr:from>
    <xdr:to>
      <xdr:col>17</xdr:col>
      <xdr:colOff>266560</xdr:colOff>
      <xdr:row>12</xdr:row>
      <xdr:rowOff>1786</xdr:rowOff>
    </xdr:to>
    <xdr:sp macro="" textlink="">
      <xdr:nvSpPr>
        <xdr:cNvPr id="26" name="Rectangle: Rounded Corners 25">
          <a:extLst>
            <a:ext uri="{FF2B5EF4-FFF2-40B4-BE49-F238E27FC236}">
              <a16:creationId xmlns:a16="http://schemas.microsoft.com/office/drawing/2014/main" id="{EB7C6BE2-83D0-414F-9D25-716AD351F016}"/>
            </a:ext>
          </a:extLst>
        </xdr:cNvPr>
        <xdr:cNvSpPr/>
      </xdr:nvSpPr>
      <xdr:spPr>
        <a:xfrm>
          <a:off x="7149936" y="1472264"/>
          <a:ext cx="3448981" cy="706665"/>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10000"/>
                </a:schemeClr>
              </a:solidFill>
              <a:latin typeface="Impact" panose="020B0806030902050204" pitchFamily="34" charset="0"/>
            </a:rPr>
            <a:t>Average Salary</a:t>
          </a:r>
        </a:p>
      </xdr:txBody>
    </xdr:sp>
    <xdr:clientData/>
  </xdr:twoCellAnchor>
  <xdr:twoCellAnchor>
    <xdr:from>
      <xdr:col>18</xdr:col>
      <xdr:colOff>70993</xdr:colOff>
      <xdr:row>7</xdr:row>
      <xdr:rowOff>176864</xdr:rowOff>
    </xdr:from>
    <xdr:to>
      <xdr:col>23</xdr:col>
      <xdr:colOff>400025</xdr:colOff>
      <xdr:row>11</xdr:row>
      <xdr:rowOff>141486</xdr:rowOff>
    </xdr:to>
    <xdr:sp macro="" textlink="">
      <xdr:nvSpPr>
        <xdr:cNvPr id="27" name="Rectangle: Rounded Corners 26">
          <a:extLst>
            <a:ext uri="{FF2B5EF4-FFF2-40B4-BE49-F238E27FC236}">
              <a16:creationId xmlns:a16="http://schemas.microsoft.com/office/drawing/2014/main" id="{CAB0F377-90EF-496A-94CC-A9514ED49238}"/>
            </a:ext>
          </a:extLst>
        </xdr:cNvPr>
        <xdr:cNvSpPr/>
      </xdr:nvSpPr>
      <xdr:spPr>
        <a:xfrm>
          <a:off x="11011136" y="1446864"/>
          <a:ext cx="3367960" cy="690336"/>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bg2">
                  <a:lumMod val="10000"/>
                </a:schemeClr>
              </a:solidFill>
              <a:latin typeface="Impact" panose="020B0806030902050204" pitchFamily="34" charset="0"/>
            </a:rPr>
            <a:t>Overall Attrition Rate</a:t>
          </a:r>
        </a:p>
      </xdr:txBody>
    </xdr:sp>
    <xdr:clientData/>
  </xdr:twoCellAnchor>
  <xdr:twoCellAnchor>
    <xdr:from>
      <xdr:col>4</xdr:col>
      <xdr:colOff>460417</xdr:colOff>
      <xdr:row>9</xdr:row>
      <xdr:rowOff>117900</xdr:rowOff>
    </xdr:from>
    <xdr:to>
      <xdr:col>11</xdr:col>
      <xdr:colOff>57968</xdr:colOff>
      <xdr:row>11</xdr:row>
      <xdr:rowOff>97338</xdr:rowOff>
    </xdr:to>
    <xdr:sp macro="" textlink="KPIs!A3">
      <xdr:nvSpPr>
        <xdr:cNvPr id="28" name="Rectangle: Rounded Corners 27">
          <a:extLst>
            <a:ext uri="{FF2B5EF4-FFF2-40B4-BE49-F238E27FC236}">
              <a16:creationId xmlns:a16="http://schemas.microsoft.com/office/drawing/2014/main" id="{A5096B4F-BE0C-4EA6-A4BC-E9B6871340AC}"/>
            </a:ext>
          </a:extLst>
        </xdr:cNvPr>
        <xdr:cNvSpPr/>
      </xdr:nvSpPr>
      <xdr:spPr>
        <a:xfrm>
          <a:off x="2891560" y="1750757"/>
          <a:ext cx="3852051" cy="342295"/>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F1883C-2BE8-4DAD-8C8E-B39F6B89B388}" type="TxLink">
            <a:rPr lang="en-US" sz="1800" b="0" i="0" u="none" strike="noStrike">
              <a:solidFill>
                <a:srgbClr val="000000"/>
              </a:solidFill>
              <a:latin typeface="Impact" panose="020B0806030902050204" pitchFamily="34" charset="0"/>
              <a:ea typeface="Calibri"/>
              <a:cs typeface="Calibri"/>
            </a:rPr>
            <a:pPr algn="ctr"/>
            <a:t>150</a:t>
          </a:fld>
          <a:endParaRPr lang="en-US" sz="1800">
            <a:latin typeface="Impact" panose="020B0806030902050204" pitchFamily="34" charset="0"/>
          </a:endParaRPr>
        </a:p>
      </xdr:txBody>
    </xdr:sp>
    <xdr:clientData/>
  </xdr:twoCellAnchor>
  <xdr:twoCellAnchor>
    <xdr:from>
      <xdr:col>11</xdr:col>
      <xdr:colOff>271407</xdr:colOff>
      <xdr:row>9</xdr:row>
      <xdr:rowOff>137858</xdr:rowOff>
    </xdr:from>
    <xdr:to>
      <xdr:col>17</xdr:col>
      <xdr:colOff>437278</xdr:colOff>
      <xdr:row>11</xdr:row>
      <xdr:rowOff>93407</xdr:rowOff>
    </xdr:to>
    <xdr:sp macro="" textlink="KPIs!C3">
      <xdr:nvSpPr>
        <xdr:cNvPr id="29" name="Rectangle: Rounded Corners 28">
          <a:extLst>
            <a:ext uri="{FF2B5EF4-FFF2-40B4-BE49-F238E27FC236}">
              <a16:creationId xmlns:a16="http://schemas.microsoft.com/office/drawing/2014/main" id="{C789FE57-6B43-4C9D-99E5-D13B8F141F50}"/>
            </a:ext>
          </a:extLst>
        </xdr:cNvPr>
        <xdr:cNvSpPr/>
      </xdr:nvSpPr>
      <xdr:spPr>
        <a:xfrm>
          <a:off x="6957050" y="1770715"/>
          <a:ext cx="3812585" cy="318406"/>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EB35D5-D04F-4EB6-AA8D-D5F4E1B789E7}" type="TxLink">
            <a:rPr lang="en-US" sz="1600" b="0" i="0" u="none" strike="noStrike">
              <a:solidFill>
                <a:srgbClr val="000000"/>
              </a:solidFill>
              <a:latin typeface="Impact" panose="020B0806030902050204" pitchFamily="34" charset="0"/>
              <a:ea typeface="Calibri"/>
              <a:cs typeface="Calibri"/>
            </a:rPr>
            <a:pPr algn="ctr"/>
            <a:t>$83,416</a:t>
          </a:fld>
          <a:endParaRPr lang="en-US" sz="1600">
            <a:latin typeface="Impact" panose="020B0806030902050204" pitchFamily="34" charset="0"/>
          </a:endParaRPr>
        </a:p>
      </xdr:txBody>
    </xdr:sp>
    <xdr:clientData/>
  </xdr:twoCellAnchor>
  <xdr:twoCellAnchor>
    <xdr:from>
      <xdr:col>17</xdr:col>
      <xdr:colOff>535608</xdr:colOff>
      <xdr:row>9</xdr:row>
      <xdr:rowOff>84337</xdr:rowOff>
    </xdr:from>
    <xdr:to>
      <xdr:col>23</xdr:col>
      <xdr:colOff>514482</xdr:colOff>
      <xdr:row>11</xdr:row>
      <xdr:rowOff>65286</xdr:rowOff>
    </xdr:to>
    <xdr:sp macro="" textlink="KPIs!G4">
      <xdr:nvSpPr>
        <xdr:cNvPr id="30" name="Rectangle: Rounded Corners 29">
          <a:extLst>
            <a:ext uri="{FF2B5EF4-FFF2-40B4-BE49-F238E27FC236}">
              <a16:creationId xmlns:a16="http://schemas.microsoft.com/office/drawing/2014/main" id="{0310C8FF-081B-4970-99AE-668BDFD5BD4C}"/>
            </a:ext>
          </a:extLst>
        </xdr:cNvPr>
        <xdr:cNvSpPr/>
      </xdr:nvSpPr>
      <xdr:spPr>
        <a:xfrm>
          <a:off x="10867965" y="1717194"/>
          <a:ext cx="3625588" cy="343806"/>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BCB2CF-12C3-496F-9FE1-EF1EAEAF8D00}" type="TxLink">
            <a:rPr lang="en-US" sz="1600" b="0" i="0" u="none" strike="noStrike">
              <a:solidFill>
                <a:srgbClr val="000000"/>
              </a:solidFill>
              <a:latin typeface="Impact" panose="020B0806030902050204" pitchFamily="34" charset="0"/>
              <a:ea typeface="Calibri"/>
              <a:cs typeface="Calibri"/>
            </a:rPr>
            <a:pPr algn="ctr"/>
            <a:t>16.00%</a:t>
          </a:fld>
          <a:endParaRPr lang="en-US" sz="1600">
            <a:latin typeface="Impact" panose="020B0806030902050204" pitchFamily="34" charset="0"/>
          </a:endParaRPr>
        </a:p>
      </xdr:txBody>
    </xdr:sp>
    <xdr:clientData/>
  </xdr:twoCellAnchor>
  <xdr:twoCellAnchor>
    <xdr:from>
      <xdr:col>19</xdr:col>
      <xdr:colOff>459507</xdr:colOff>
      <xdr:row>20</xdr:row>
      <xdr:rowOff>9072</xdr:rowOff>
    </xdr:from>
    <xdr:to>
      <xdr:col>26</xdr:col>
      <xdr:colOff>229919</xdr:colOff>
      <xdr:row>37</xdr:row>
      <xdr:rowOff>11804</xdr:rowOff>
    </xdr:to>
    <xdr:graphicFrame macro="">
      <xdr:nvGraphicFramePr>
        <xdr:cNvPr id="32" name="Chart 31">
          <a:extLst>
            <a:ext uri="{FF2B5EF4-FFF2-40B4-BE49-F238E27FC236}">
              <a16:creationId xmlns:a16="http://schemas.microsoft.com/office/drawing/2014/main" id="{3211066B-8B4F-4E52-95F5-F40066C5F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435430</xdr:colOff>
      <xdr:row>19</xdr:row>
      <xdr:rowOff>172357</xdr:rowOff>
    </xdr:from>
    <xdr:to>
      <xdr:col>10</xdr:col>
      <xdr:colOff>453572</xdr:colOff>
      <xdr:row>37</xdr:row>
      <xdr:rowOff>45357</xdr:rowOff>
    </xdr:to>
    <xdr:graphicFrame macro="">
      <xdr:nvGraphicFramePr>
        <xdr:cNvPr id="33" name="Chart 32">
          <a:extLst>
            <a:ext uri="{FF2B5EF4-FFF2-40B4-BE49-F238E27FC236}">
              <a16:creationId xmlns:a16="http://schemas.microsoft.com/office/drawing/2014/main" id="{38FC30E8-9E97-4C55-A806-486DAA7CE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408205</xdr:colOff>
      <xdr:row>20</xdr:row>
      <xdr:rowOff>0</xdr:rowOff>
    </xdr:from>
    <xdr:to>
      <xdr:col>18</xdr:col>
      <xdr:colOff>526143</xdr:colOff>
      <xdr:row>36</xdr:row>
      <xdr:rowOff>108857</xdr:rowOff>
    </xdr:to>
    <xdr:graphicFrame macro="">
      <xdr:nvGraphicFramePr>
        <xdr:cNvPr id="34" name="Chart 33">
          <a:extLst>
            <a:ext uri="{FF2B5EF4-FFF2-40B4-BE49-F238E27FC236}">
              <a16:creationId xmlns:a16="http://schemas.microsoft.com/office/drawing/2014/main" id="{3849303D-E2A5-4A7E-BD20-20AB5A5D3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45348</xdr:colOff>
      <xdr:row>16</xdr:row>
      <xdr:rowOff>18143</xdr:rowOff>
    </xdr:from>
    <xdr:to>
      <xdr:col>2</xdr:col>
      <xdr:colOff>127000</xdr:colOff>
      <xdr:row>31</xdr:row>
      <xdr:rowOff>1788</xdr:rowOff>
    </xdr:to>
    <mc:AlternateContent xmlns:mc="http://schemas.openxmlformats.org/markup-compatibility/2006" xmlns:a14="http://schemas.microsoft.com/office/drawing/2010/main">
      <mc:Choice Requires="a14">
        <xdr:graphicFrame macro="">
          <xdr:nvGraphicFramePr>
            <xdr:cNvPr id="35" name="Emp ID">
              <a:extLst>
                <a:ext uri="{FF2B5EF4-FFF2-40B4-BE49-F238E27FC236}">
                  <a16:creationId xmlns:a16="http://schemas.microsoft.com/office/drawing/2014/main" id="{5EE03410-ECA1-4ADB-A74F-BF1C4E8E542E}"/>
                </a:ext>
              </a:extLst>
            </xdr:cNvPr>
            <xdr:cNvGraphicFramePr/>
          </xdr:nvGraphicFramePr>
          <xdr:xfrm>
            <a:off x="0" y="0"/>
            <a:ext cx="0" cy="0"/>
          </xdr:xfrm>
          <a:graphic>
            <a:graphicData uri="http://schemas.microsoft.com/office/drawing/2010/slicer">
              <sle:slicer xmlns:sle="http://schemas.microsoft.com/office/drawing/2010/slicer" name="Emp ID"/>
            </a:graphicData>
          </a:graphic>
        </xdr:graphicFrame>
      </mc:Choice>
      <mc:Fallback xmlns="">
        <xdr:sp macro="" textlink="">
          <xdr:nvSpPr>
            <xdr:cNvPr id="0" name=""/>
            <xdr:cNvSpPr>
              <a:spLocks noTextEdit="1"/>
            </xdr:cNvSpPr>
          </xdr:nvSpPr>
          <xdr:spPr>
            <a:xfrm>
              <a:off x="45348" y="2921000"/>
              <a:ext cx="1297223" cy="270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42011</xdr:colOff>
      <xdr:row>1</xdr:row>
      <xdr:rowOff>0</xdr:rowOff>
    </xdr:from>
    <xdr:to>
      <xdr:col>2</xdr:col>
      <xdr:colOff>99786</xdr:colOff>
      <xdr:row>15</xdr:row>
      <xdr:rowOff>36285</xdr:rowOff>
    </xdr:to>
    <mc:AlternateContent xmlns:mc="http://schemas.openxmlformats.org/markup-compatibility/2006" xmlns:a14="http://schemas.microsoft.com/office/drawing/2010/main">
      <mc:Choice Requires="a14">
        <xdr:graphicFrame macro="">
          <xdr:nvGraphicFramePr>
            <xdr:cNvPr id="37" name="Department Name">
              <a:extLst>
                <a:ext uri="{FF2B5EF4-FFF2-40B4-BE49-F238E27FC236}">
                  <a16:creationId xmlns:a16="http://schemas.microsoft.com/office/drawing/2014/main" id="{1A6F11FD-B2DC-4E22-A363-7114D38019B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42011" y="181429"/>
              <a:ext cx="1273346" cy="257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96347</xdr:colOff>
      <xdr:row>32</xdr:row>
      <xdr:rowOff>81643</xdr:rowOff>
    </xdr:from>
    <xdr:to>
      <xdr:col>2</xdr:col>
      <xdr:colOff>163286</xdr:colOff>
      <xdr:row>42</xdr:row>
      <xdr:rowOff>72655</xdr:rowOff>
    </xdr:to>
    <mc:AlternateContent xmlns:mc="http://schemas.openxmlformats.org/markup-compatibility/2006" xmlns:a14="http://schemas.microsoft.com/office/drawing/2010/main">
      <mc:Choice Requires="a14">
        <xdr:graphicFrame macro="">
          <xdr:nvGraphicFramePr>
            <xdr:cNvPr id="38" name="Employment satus ">
              <a:extLst>
                <a:ext uri="{FF2B5EF4-FFF2-40B4-BE49-F238E27FC236}">
                  <a16:creationId xmlns:a16="http://schemas.microsoft.com/office/drawing/2014/main" id="{5816352A-0842-4A37-A154-E95FB13070BB}"/>
                </a:ext>
              </a:extLst>
            </xdr:cNvPr>
            <xdr:cNvGraphicFramePr/>
          </xdr:nvGraphicFramePr>
          <xdr:xfrm>
            <a:off x="0" y="0"/>
            <a:ext cx="0" cy="0"/>
          </xdr:xfrm>
          <a:graphic>
            <a:graphicData uri="http://schemas.microsoft.com/office/drawing/2010/slicer">
              <sle:slicer xmlns:sle="http://schemas.microsoft.com/office/drawing/2010/slicer" name="Employment satus "/>
            </a:graphicData>
          </a:graphic>
        </xdr:graphicFrame>
      </mc:Choice>
      <mc:Fallback xmlns="">
        <xdr:sp macro="" textlink="">
          <xdr:nvSpPr>
            <xdr:cNvPr id="0" name=""/>
            <xdr:cNvSpPr>
              <a:spLocks noTextEdit="1"/>
            </xdr:cNvSpPr>
          </xdr:nvSpPr>
          <xdr:spPr>
            <a:xfrm>
              <a:off x="96347" y="5887357"/>
              <a:ext cx="1282510" cy="1805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272138</xdr:colOff>
      <xdr:row>17</xdr:row>
      <xdr:rowOff>99786</xdr:rowOff>
    </xdr:from>
    <xdr:to>
      <xdr:col>19</xdr:col>
      <xdr:colOff>27209</xdr:colOff>
      <xdr:row>19</xdr:row>
      <xdr:rowOff>81643</xdr:rowOff>
    </xdr:to>
    <xdr:sp macro="" textlink="">
      <xdr:nvSpPr>
        <xdr:cNvPr id="45" name="Rectangle 44">
          <a:extLst>
            <a:ext uri="{FF2B5EF4-FFF2-40B4-BE49-F238E27FC236}">
              <a16:creationId xmlns:a16="http://schemas.microsoft.com/office/drawing/2014/main" id="{4BAC79E3-CCFA-1402-93E4-13FAD0453A5C}"/>
            </a:ext>
          </a:extLst>
        </xdr:cNvPr>
        <xdr:cNvSpPr/>
      </xdr:nvSpPr>
      <xdr:spPr>
        <a:xfrm>
          <a:off x="6957781" y="3184072"/>
          <a:ext cx="4617357" cy="344714"/>
        </a:xfrm>
        <a:prstGeom prst="rect">
          <a:avLst/>
        </a:prstGeom>
        <a:solidFill>
          <a:schemeClr val="accent3">
            <a:lumMod val="60000"/>
            <a:lumOff val="4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bg2">
                  <a:lumMod val="10000"/>
                </a:schemeClr>
              </a:solidFill>
              <a:latin typeface="Impact" panose="020B0806030902050204" pitchFamily="34" charset="0"/>
            </a:rPr>
            <a:t>Performance by  Status</a:t>
          </a:r>
        </a:p>
      </xdr:txBody>
    </xdr:sp>
    <xdr:clientData/>
  </xdr:twoCellAnchor>
  <xdr:twoCellAnchor>
    <xdr:from>
      <xdr:col>3</xdr:col>
      <xdr:colOff>317500</xdr:colOff>
      <xdr:row>17</xdr:row>
      <xdr:rowOff>90714</xdr:rowOff>
    </xdr:from>
    <xdr:to>
      <xdr:col>10</xdr:col>
      <xdr:colOff>526142</xdr:colOff>
      <xdr:row>19</xdr:row>
      <xdr:rowOff>54428</xdr:rowOff>
    </xdr:to>
    <xdr:sp macro="" textlink="">
      <xdr:nvSpPr>
        <xdr:cNvPr id="46" name="Rectangle 45">
          <a:extLst>
            <a:ext uri="{FF2B5EF4-FFF2-40B4-BE49-F238E27FC236}">
              <a16:creationId xmlns:a16="http://schemas.microsoft.com/office/drawing/2014/main" id="{8BACE07C-E392-428B-8D6B-09FF1EB2B811}"/>
            </a:ext>
          </a:extLst>
        </xdr:cNvPr>
        <xdr:cNvSpPr/>
      </xdr:nvSpPr>
      <xdr:spPr>
        <a:xfrm>
          <a:off x="2140857" y="3175000"/>
          <a:ext cx="4463142" cy="326571"/>
        </a:xfrm>
        <a:prstGeom prst="rect">
          <a:avLst/>
        </a:prstGeom>
        <a:solidFill>
          <a:schemeClr val="accent3">
            <a:lumMod val="60000"/>
            <a:lumOff val="4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aseline="0">
              <a:solidFill>
                <a:schemeClr val="bg2">
                  <a:lumMod val="10000"/>
                </a:schemeClr>
              </a:solidFill>
              <a:latin typeface="Impact" panose="020B0806030902050204" pitchFamily="34" charset="0"/>
            </a:rPr>
            <a:t> Attrition Rate</a:t>
          </a:r>
          <a:endParaRPr lang="en-US" sz="1800">
            <a:solidFill>
              <a:schemeClr val="bg2">
                <a:lumMod val="10000"/>
              </a:schemeClr>
            </a:solidFill>
            <a:latin typeface="Impact" panose="020B0806030902050204" pitchFamily="34" charset="0"/>
          </a:endParaRPr>
        </a:p>
      </xdr:txBody>
    </xdr:sp>
    <xdr:clientData/>
  </xdr:twoCellAnchor>
  <xdr:twoCellAnchor>
    <xdr:from>
      <xdr:col>19</xdr:col>
      <xdr:colOff>285559</xdr:colOff>
      <xdr:row>17</xdr:row>
      <xdr:rowOff>85454</xdr:rowOff>
    </xdr:from>
    <xdr:to>
      <xdr:col>26</xdr:col>
      <xdr:colOff>385723</xdr:colOff>
      <xdr:row>19</xdr:row>
      <xdr:rowOff>81643</xdr:rowOff>
    </xdr:to>
    <xdr:sp macro="" textlink="">
      <xdr:nvSpPr>
        <xdr:cNvPr id="47" name="Rectangle 46">
          <a:extLst>
            <a:ext uri="{FF2B5EF4-FFF2-40B4-BE49-F238E27FC236}">
              <a16:creationId xmlns:a16="http://schemas.microsoft.com/office/drawing/2014/main" id="{CB22CACE-F314-431B-AD03-74EC1D88952B}"/>
            </a:ext>
          </a:extLst>
        </xdr:cNvPr>
        <xdr:cNvSpPr/>
      </xdr:nvSpPr>
      <xdr:spPr>
        <a:xfrm>
          <a:off x="11833488" y="3169740"/>
          <a:ext cx="4354664" cy="359046"/>
        </a:xfrm>
        <a:prstGeom prst="rect">
          <a:avLst/>
        </a:prstGeom>
        <a:solidFill>
          <a:schemeClr val="accent3">
            <a:lumMod val="60000"/>
            <a:lumOff val="4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bg2">
                  <a:lumMod val="10000"/>
                </a:schemeClr>
              </a:solidFill>
              <a:latin typeface="Impact" panose="020B0806030902050204" pitchFamily="34" charset="0"/>
            </a:rPr>
            <a:t>Average Salary by 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798109953706" createdVersion="8" refreshedVersion="8" minRefreshableVersion="3" recordCount="150" xr:uid="{1A30A1EA-94B7-49F0-B97F-FF6B48AB51C2}">
  <cacheSource type="worksheet">
    <worksheetSource ref="A1:M151" sheet="Raw_Employee_Data"/>
  </cacheSource>
  <cacheFields count="13">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ontainsBlank="1"/>
    </cacheField>
    <cacheField name="Last_Name" numFmtId="0">
      <sharedItems/>
    </cacheField>
    <cacheField name="Dept code " numFmtId="0">
      <sharedItems/>
    </cacheField>
    <cacheField name="Hire Date" numFmtId="14">
      <sharedItems containsSemiMixedTypes="0" containsNonDate="0" containsDate="1" containsString="0" minDate="2017-12-24T00:00:00" maxDate="2018-05-23T00:00:00"/>
    </cacheField>
    <cacheField name="Salary" numFmtId="164">
      <sharedItems containsString="0" containsBlank="1" containsNumber="1" containsInteger="1" minValue="45196" maxValue="118947" count="130">
        <n v="50361"/>
        <n v="112673"/>
        <n v="114425"/>
        <n v="103831"/>
        <n v="73785"/>
        <n v="115882"/>
        <n v="59980"/>
        <n v="68728"/>
        <n v="102139"/>
        <n v="94998"/>
        <n v="118635"/>
        <n v="76918"/>
        <n v="61408"/>
        <n v="99990"/>
        <n v="80385"/>
        <n v="65290"/>
        <n v="105765"/>
        <n v="102921"/>
        <n v="73984"/>
        <m/>
        <n v="118527"/>
        <n v="93956"/>
        <n v="100851"/>
        <n v="68655"/>
        <n v="81205"/>
        <n v="77610"/>
        <n v="50873"/>
        <n v="85312"/>
        <n v="97055"/>
        <n v="66069"/>
        <n v="90157"/>
        <n v="59899"/>
        <n v="113389"/>
        <n v="102691"/>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Perf_Score" numFmtId="0">
      <sharedItems containsString="0" containsBlank="1" containsNumber="1" containsInteger="1" minValue="30" maxValue="99" count="59">
        <n v="52"/>
        <m/>
        <n v="54"/>
        <n v="70"/>
        <n v="40"/>
        <n v="49"/>
        <n v="45"/>
        <n v="79"/>
        <n v="58"/>
        <n v="62"/>
        <n v="48"/>
        <n v="77"/>
        <n v="42"/>
        <n v="93"/>
        <n v="75"/>
        <n v="50"/>
        <n v="88"/>
        <n v="64"/>
        <n v="32"/>
        <n v="59"/>
        <n v="90"/>
        <n v="66"/>
        <n v="68"/>
        <n v="80"/>
        <n v="72"/>
        <n v="78"/>
        <n v="30"/>
        <n v="98"/>
        <n v="71"/>
        <n v="55"/>
        <n v="76"/>
        <n v="84"/>
        <n v="53"/>
        <n v="63"/>
        <n v="96"/>
        <n v="95"/>
        <n v="33"/>
        <n v="91"/>
        <n v="46"/>
        <n v="99"/>
        <n v="87"/>
        <n v="36"/>
        <n v="97"/>
        <n v="65"/>
        <n v="67"/>
        <n v="34"/>
        <n v="61"/>
        <n v="74"/>
        <n v="94"/>
        <n v="81"/>
        <n v="57"/>
        <n v="69"/>
        <n v="51"/>
        <n v="82"/>
        <n v="83"/>
        <n v="38"/>
        <n v="35"/>
        <n v="92"/>
        <n v="73"/>
      </sharedItems>
    </cacheField>
    <cacheField name="Employment satus " numFmtId="0">
      <sharedItems count="3">
        <s v="Active"/>
        <s v="Left"/>
        <s v="Resigned"/>
      </sharedItems>
    </cacheField>
    <cacheField name="Full Name" numFmtId="0">
      <sharedItems/>
    </cacheField>
    <cacheField name="Department Name" numFmtId="0">
      <sharedItems count="6">
        <s v="Information Technology"/>
        <s v="Marketing"/>
        <s v="Finance"/>
        <s v="Operations"/>
        <s v="Sales"/>
        <s v="Human Resources"/>
      </sharedItems>
    </cacheField>
    <cacheField name="Years of Service" numFmtId="0">
      <sharedItems containsMixedTypes="1" containsNumber="1" containsInteger="1" minValue="8" maxValue="8"/>
    </cacheField>
    <cacheField name="Performance Band" numFmtId="0">
      <sharedItems/>
    </cacheField>
    <cacheField name="Eligible Bonus Amount" numFmtId="7">
      <sharedItems containsSemiMixedTypes="0" containsString="0" containsNumber="1" minValue="0" maxValue="14273.64"/>
    </cacheField>
  </cacheFields>
  <extLst>
    <ext xmlns:x14="http://schemas.microsoft.com/office/spreadsheetml/2009/9/main" uri="{725AE2AE-9491-48be-B2B4-4EB974FC3084}">
      <x14:pivotCacheDefinition pivotCacheId="17819153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814428587961" createdVersion="8" refreshedVersion="8" minRefreshableVersion="3" recordCount="150" xr:uid="{95F796FF-B887-4140-B05B-589FE8A0D187}">
  <cacheSource type="worksheet">
    <worksheetSource name="Table1"/>
  </cacheSource>
  <cacheFields count="13">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ontainsBlank="1"/>
    </cacheField>
    <cacheField name="Last_Name" numFmtId="0">
      <sharedItems/>
    </cacheField>
    <cacheField name="Dept code " numFmtId="0">
      <sharedItems/>
    </cacheField>
    <cacheField name="Hire Date" numFmtId="14">
      <sharedItems containsSemiMixedTypes="0" containsNonDate="0" containsDate="1" containsString="0" minDate="2017-12-24T00:00:00" maxDate="2018-05-23T00:00:00"/>
    </cacheField>
    <cacheField name="Salary" numFmtId="164">
      <sharedItems containsString="0" containsBlank="1" containsNumber="1" containsInteger="1" minValue="45196" maxValue="118947" count="130">
        <n v="50361"/>
        <n v="112673"/>
        <n v="114425"/>
        <n v="103831"/>
        <n v="73785"/>
        <n v="115882"/>
        <n v="59980"/>
        <n v="68728"/>
        <n v="102139"/>
        <n v="94998"/>
        <n v="118635"/>
        <n v="76918"/>
        <n v="61408"/>
        <n v="99990"/>
        <n v="80385"/>
        <n v="65290"/>
        <n v="105765"/>
        <n v="102921"/>
        <n v="73984"/>
        <m/>
        <n v="118527"/>
        <n v="93956"/>
        <n v="100851"/>
        <n v="68655"/>
        <n v="81205"/>
        <n v="77610"/>
        <n v="50873"/>
        <n v="85312"/>
        <n v="97055"/>
        <n v="66069"/>
        <n v="90157"/>
        <n v="59899"/>
        <n v="113389"/>
        <n v="102691"/>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Perf_Score" numFmtId="0">
      <sharedItems containsString="0" containsBlank="1" containsNumber="1" containsInteger="1" minValue="30" maxValue="99" count="59">
        <n v="52"/>
        <m/>
        <n v="54"/>
        <n v="70"/>
        <n v="40"/>
        <n v="49"/>
        <n v="45"/>
        <n v="79"/>
        <n v="58"/>
        <n v="62"/>
        <n v="48"/>
        <n v="77"/>
        <n v="42"/>
        <n v="93"/>
        <n v="75"/>
        <n v="50"/>
        <n v="88"/>
        <n v="64"/>
        <n v="32"/>
        <n v="59"/>
        <n v="90"/>
        <n v="66"/>
        <n v="68"/>
        <n v="80"/>
        <n v="72"/>
        <n v="78"/>
        <n v="30"/>
        <n v="98"/>
        <n v="71"/>
        <n v="55"/>
        <n v="76"/>
        <n v="84"/>
        <n v="53"/>
        <n v="63"/>
        <n v="96"/>
        <n v="95"/>
        <n v="33"/>
        <n v="91"/>
        <n v="46"/>
        <n v="99"/>
        <n v="87"/>
        <n v="36"/>
        <n v="97"/>
        <n v="65"/>
        <n v="67"/>
        <n v="34"/>
        <n v="61"/>
        <n v="74"/>
        <n v="94"/>
        <n v="81"/>
        <n v="57"/>
        <n v="69"/>
        <n v="51"/>
        <n v="82"/>
        <n v="83"/>
        <n v="38"/>
        <n v="35"/>
        <n v="92"/>
        <n v="73"/>
      </sharedItems>
    </cacheField>
    <cacheField name="Employment satus " numFmtId="0">
      <sharedItems count="3">
        <s v="Active"/>
        <s v="Left"/>
        <s v="Resigned"/>
      </sharedItems>
    </cacheField>
    <cacheField name="Full Name" numFmtId="0">
      <sharedItems/>
    </cacheField>
    <cacheField name="Department Name" numFmtId="0">
      <sharedItems count="6">
        <s v="Information Technology"/>
        <s v="Marketing"/>
        <s v="Finance"/>
        <s v="Operations"/>
        <s v="Sales"/>
        <s v="Human Resources"/>
      </sharedItems>
    </cacheField>
    <cacheField name="Years of Service" numFmtId="0">
      <sharedItems containsMixedTypes="1" containsNumber="1" containsInteger="1" minValue="8" maxValue="8"/>
    </cacheField>
    <cacheField name="Performance Band" numFmtId="0">
      <sharedItems count="6">
        <s v="Developing"/>
        <s v="No Score"/>
        <s v="Achieving"/>
        <s v="Needs Improvement"/>
        <s v="Exceeding"/>
        <s v="Outstanding"/>
      </sharedItems>
    </cacheField>
    <cacheField name="Eligible Bonus Amount" numFmtId="7">
      <sharedItems containsSemiMixedTypes="0" containsString="0" containsNumber="1" minValue="0" maxValue="14273.64"/>
    </cacheField>
  </cacheFields>
  <extLst>
    <ext xmlns:x14="http://schemas.microsoft.com/office/spreadsheetml/2009/9/main" uri="{725AE2AE-9491-48be-B2B4-4EB974FC3084}">
      <x14:pivotCacheDefinition pivotCacheId="836239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IT02"/>
    <d v="2017-12-24T00:00:00"/>
    <x v="0"/>
    <x v="0"/>
    <x v="0"/>
    <s v="Emily Brown"/>
    <x v="0"/>
    <n v="8"/>
    <s v="Developing"/>
    <n v="1007.22"/>
  </r>
  <r>
    <x v="1"/>
    <s v="Richard"/>
    <s v="Hernandez"/>
    <s v="MKT04"/>
    <d v="2017-12-25T00:00:00"/>
    <x v="1"/>
    <x v="1"/>
    <x v="0"/>
    <s v="Richard Hernandez"/>
    <x v="1"/>
    <n v="8"/>
    <s v="No Score"/>
    <n v="0"/>
  </r>
  <r>
    <x v="2"/>
    <s v="Emily"/>
    <s v="Gonzalez"/>
    <s v="IT02"/>
    <d v="2017-12-26T00:00:00"/>
    <x v="2"/>
    <x v="2"/>
    <x v="1"/>
    <s v="Emily Gonzalez"/>
    <x v="0"/>
    <s v="N/A"/>
    <s v="Developing"/>
    <n v="2288.5"/>
  </r>
  <r>
    <x v="3"/>
    <s v="John"/>
    <s v="Martinez"/>
    <s v="FIN03"/>
    <d v="2017-12-27T00:00:00"/>
    <x v="3"/>
    <x v="3"/>
    <x v="0"/>
    <s v="John Martinez"/>
    <x v="2"/>
    <n v="8"/>
    <s v="Achieving"/>
    <n v="5191.55"/>
  </r>
  <r>
    <x v="4"/>
    <s v="Thomas"/>
    <s v="Smith"/>
    <s v="IT02"/>
    <d v="2017-12-28T00:00:00"/>
    <x v="4"/>
    <x v="4"/>
    <x v="1"/>
    <s v="Thomas Smith"/>
    <x v="0"/>
    <s v="N/A"/>
    <s v="Needs Improvement"/>
    <n v="0"/>
  </r>
  <r>
    <x v="5"/>
    <s v="Emily"/>
    <s v="Johnson"/>
    <s v="OPS06"/>
    <d v="2017-12-29T00:00:00"/>
    <x v="5"/>
    <x v="5"/>
    <x v="0"/>
    <s v="Emily Johnson"/>
    <x v="3"/>
    <n v="8"/>
    <s v="Needs Improvement"/>
    <n v="0"/>
  </r>
  <r>
    <x v="6"/>
    <s v="John"/>
    <s v="Wilson"/>
    <s v="OPS06"/>
    <d v="2017-12-30T00:00:00"/>
    <x v="6"/>
    <x v="3"/>
    <x v="1"/>
    <s v="John Wilson"/>
    <x v="3"/>
    <s v="N/A"/>
    <s v="Achieving"/>
    <n v="2999"/>
  </r>
  <r>
    <x v="7"/>
    <s v="Jessica"/>
    <s v="Smith"/>
    <s v="OPS06"/>
    <d v="2017-12-31T00:00:00"/>
    <x v="7"/>
    <x v="6"/>
    <x v="0"/>
    <s v="Jessica Smith"/>
    <x v="3"/>
    <n v="8"/>
    <s v="Needs Improvement"/>
    <n v="0"/>
  </r>
  <r>
    <x v="8"/>
    <m/>
    <s v="Rodriguez"/>
    <s v="FIN03"/>
    <d v="2018-01-01T00:00:00"/>
    <x v="8"/>
    <x v="7"/>
    <x v="0"/>
    <s v="Rodriguez"/>
    <x v="2"/>
    <n v="8"/>
    <s v="Achieving"/>
    <n v="5106.9500000000007"/>
  </r>
  <r>
    <x v="9"/>
    <s v="Michael"/>
    <s v="Martinez"/>
    <s v="SAL05"/>
    <d v="2018-01-02T00:00:00"/>
    <x v="9"/>
    <x v="8"/>
    <x v="0"/>
    <s v="Michael Martinez"/>
    <x v="4"/>
    <n v="8"/>
    <s v="Developing"/>
    <n v="1899.96"/>
  </r>
  <r>
    <x v="10"/>
    <s v="Emily"/>
    <s v="Miller"/>
    <s v="SAL05"/>
    <d v="2018-01-03T00:00:00"/>
    <x v="10"/>
    <x v="5"/>
    <x v="0"/>
    <s v="Emily Miller"/>
    <x v="4"/>
    <n v="8"/>
    <s v="Needs Improvement"/>
    <n v="0"/>
  </r>
  <r>
    <x v="11"/>
    <s v="Emily"/>
    <s v="Hernandez"/>
    <s v="IT02"/>
    <d v="2018-01-04T00:00:00"/>
    <x v="11"/>
    <x v="9"/>
    <x v="0"/>
    <s v="Emily Hernandez"/>
    <x v="0"/>
    <n v="8"/>
    <s v="Developing"/>
    <n v="1538.3600000000001"/>
  </r>
  <r>
    <x v="12"/>
    <s v="Jane"/>
    <s v="Williams"/>
    <s v="MKT04"/>
    <d v="2018-01-05T00:00:00"/>
    <x v="12"/>
    <x v="10"/>
    <x v="0"/>
    <s v="Jane Williams"/>
    <x v="1"/>
    <n v="8"/>
    <s v="Needs Improvement"/>
    <n v="0"/>
  </r>
  <r>
    <x v="13"/>
    <s v="Jane"/>
    <s v="Miller"/>
    <s v="MKT04"/>
    <d v="2018-01-06T00:00:00"/>
    <x v="13"/>
    <x v="2"/>
    <x v="0"/>
    <s v="Jane Miller"/>
    <x v="1"/>
    <n v="8"/>
    <s v="Developing"/>
    <n v="1999.8"/>
  </r>
  <r>
    <x v="14"/>
    <s v="Robert"/>
    <s v="Jones"/>
    <s v="MKT04"/>
    <d v="2018-01-07T00:00:00"/>
    <x v="14"/>
    <x v="1"/>
    <x v="0"/>
    <s v="Robert Jones"/>
    <x v="1"/>
    <n v="8"/>
    <s v="No Score"/>
    <n v="0"/>
  </r>
  <r>
    <x v="15"/>
    <s v="Thomas"/>
    <s v="Rodriguez"/>
    <s v="SAL05"/>
    <d v="2018-01-08T00:00:00"/>
    <x v="15"/>
    <x v="11"/>
    <x v="0"/>
    <s v="Thomas Rodriguez"/>
    <x v="4"/>
    <n v="8"/>
    <s v="Achieving"/>
    <n v="3264.5"/>
  </r>
  <r>
    <x v="16"/>
    <s v="Emily"/>
    <s v="Davis"/>
    <s v="IT02"/>
    <d v="2018-01-09T00:00:00"/>
    <x v="16"/>
    <x v="12"/>
    <x v="0"/>
    <s v="Emily Davis"/>
    <x v="0"/>
    <n v="8"/>
    <s v="Needs Improvement"/>
    <n v="0"/>
  </r>
  <r>
    <x v="17"/>
    <s v="James"/>
    <s v="Martinez"/>
    <s v="SAL05"/>
    <d v="2018-01-10T00:00:00"/>
    <x v="17"/>
    <x v="5"/>
    <x v="0"/>
    <s v="James Martinez"/>
    <x v="4"/>
    <n v="8"/>
    <s v="Needs Improvement"/>
    <n v="0"/>
  </r>
  <r>
    <x v="18"/>
    <s v="Ashley"/>
    <s v="Lopez"/>
    <s v="MKT04"/>
    <d v="2018-01-11T00:00:00"/>
    <x v="18"/>
    <x v="13"/>
    <x v="0"/>
    <s v="Ashley Lopez"/>
    <x v="1"/>
    <n v="8"/>
    <s v="Exceeding"/>
    <n v="5918.72"/>
  </r>
  <r>
    <x v="19"/>
    <s v="Amanda"/>
    <s v="Gonzalez"/>
    <s v="IT02"/>
    <d v="2018-01-12T00:00:00"/>
    <x v="19"/>
    <x v="14"/>
    <x v="0"/>
    <s v="Amanda Gonzalez"/>
    <x v="0"/>
    <n v="8"/>
    <s v="Achieving"/>
    <n v="0"/>
  </r>
  <r>
    <x v="20"/>
    <s v="Michael"/>
    <s v="Hernandez"/>
    <s v="FIN03"/>
    <d v="2018-01-13T00:00:00"/>
    <x v="20"/>
    <x v="15"/>
    <x v="0"/>
    <s v="Michael Hernandez"/>
    <x v="2"/>
    <n v="8"/>
    <s v="Developing"/>
    <n v="2370.54"/>
  </r>
  <r>
    <x v="21"/>
    <s v="Richard"/>
    <s v="Hernandez"/>
    <s v="MKT04"/>
    <d v="2018-01-14T00:00:00"/>
    <x v="19"/>
    <x v="16"/>
    <x v="0"/>
    <s v="Richard Hernandez"/>
    <x v="1"/>
    <n v="8"/>
    <s v="Exceeding"/>
    <n v="0"/>
  </r>
  <r>
    <x v="22"/>
    <s v="Michael"/>
    <s v="Rodriguez"/>
    <s v="IT02"/>
    <d v="2018-01-15T00:00:00"/>
    <x v="21"/>
    <x v="15"/>
    <x v="1"/>
    <s v="Michael Rodriguez"/>
    <x v="0"/>
    <s v="N/A"/>
    <s v="Developing"/>
    <n v="1879.1200000000001"/>
  </r>
  <r>
    <x v="23"/>
    <s v="Jessica"/>
    <s v="Johnson"/>
    <s v="FIN03"/>
    <d v="2018-01-16T00:00:00"/>
    <x v="22"/>
    <x v="17"/>
    <x v="0"/>
    <s v="Jessica Johnson"/>
    <x v="2"/>
    <n v="8"/>
    <s v="Developing"/>
    <n v="2017.02"/>
  </r>
  <r>
    <x v="24"/>
    <s v="Ashley"/>
    <s v="Williams"/>
    <s v="SAL05"/>
    <d v="2018-01-17T00:00:00"/>
    <x v="23"/>
    <x v="18"/>
    <x v="0"/>
    <s v="Ashley Williams"/>
    <x v="4"/>
    <n v="8"/>
    <s v="Needs Improvement"/>
    <n v="0"/>
  </r>
  <r>
    <x v="25"/>
    <m/>
    <s v="Williams"/>
    <s v="SAL05"/>
    <d v="2018-01-18T00:00:00"/>
    <x v="24"/>
    <x v="19"/>
    <x v="0"/>
    <s v="Williams"/>
    <x v="4"/>
    <n v="8"/>
    <s v="Developing"/>
    <n v="1624.1000000000001"/>
  </r>
  <r>
    <x v="26"/>
    <s v="John"/>
    <s v="Wilson"/>
    <s v="SAL05"/>
    <d v="2018-01-19T00:00:00"/>
    <x v="25"/>
    <x v="16"/>
    <x v="0"/>
    <s v="John Wilson"/>
    <x v="4"/>
    <n v="8"/>
    <s v="Exceeding"/>
    <n v="6208.8"/>
  </r>
  <r>
    <x v="27"/>
    <s v="Thomas"/>
    <s v="Rodriguez"/>
    <s v="IT02"/>
    <d v="2018-01-20T00:00:00"/>
    <x v="26"/>
    <x v="20"/>
    <x v="0"/>
    <s v="Thomas Rodriguez"/>
    <x v="0"/>
    <n v="8"/>
    <s v="Exceeding"/>
    <n v="4069.84"/>
  </r>
  <r>
    <x v="28"/>
    <s v="Michael"/>
    <s v="Wilson"/>
    <s v="FIN03"/>
    <d v="2018-01-21T00:00:00"/>
    <x v="27"/>
    <x v="21"/>
    <x v="0"/>
    <s v="Michael Wilson"/>
    <x v="2"/>
    <n v="8"/>
    <s v="Developing"/>
    <n v="1706.24"/>
  </r>
  <r>
    <x v="29"/>
    <s v="John"/>
    <s v="Rodriguez"/>
    <s v="SAL05"/>
    <d v="2018-01-22T00:00:00"/>
    <x v="19"/>
    <x v="22"/>
    <x v="0"/>
    <s v="John Rodriguez"/>
    <x v="4"/>
    <n v="8"/>
    <s v="Developing"/>
    <n v="0"/>
  </r>
  <r>
    <x v="30"/>
    <s v="Thomas"/>
    <s v="Hernandez"/>
    <s v="OPS06"/>
    <d v="2018-01-23T00:00:00"/>
    <x v="28"/>
    <x v="23"/>
    <x v="0"/>
    <s v="Thomas Hernandez"/>
    <x v="3"/>
    <n v="8"/>
    <s v="Achieving"/>
    <n v="4852.75"/>
  </r>
  <r>
    <x v="31"/>
    <s v="Michael"/>
    <s v="Johnson"/>
    <s v="IT02"/>
    <d v="2018-01-24T00:00:00"/>
    <x v="29"/>
    <x v="24"/>
    <x v="0"/>
    <s v="Michael Johnson"/>
    <x v="0"/>
    <n v="8"/>
    <s v="Achieving"/>
    <n v="3303.4500000000003"/>
  </r>
  <r>
    <x v="32"/>
    <s v="Sarah"/>
    <s v="Brown"/>
    <s v="IT02"/>
    <d v="2018-01-25T00:00:00"/>
    <x v="30"/>
    <x v="8"/>
    <x v="0"/>
    <s v="Sarah Brown"/>
    <x v="0"/>
    <n v="8"/>
    <s v="Developing"/>
    <n v="1803.14"/>
  </r>
  <r>
    <x v="33"/>
    <s v="Jane"/>
    <s v="Martinez"/>
    <s v="HR01"/>
    <d v="2018-01-26T00:00:00"/>
    <x v="31"/>
    <x v="25"/>
    <x v="0"/>
    <s v="Jane Martinez"/>
    <x v="5"/>
    <n v="8"/>
    <s v="Achieving"/>
    <n v="2994.9500000000003"/>
  </r>
  <r>
    <x v="34"/>
    <s v="Emily"/>
    <s v="Jones"/>
    <s v="FIN03"/>
    <d v="2018-01-27T00:00:00"/>
    <x v="32"/>
    <x v="26"/>
    <x v="0"/>
    <s v="Emily Jones"/>
    <x v="2"/>
    <n v="8"/>
    <s v="Needs Improvement"/>
    <n v="0"/>
  </r>
  <r>
    <x v="35"/>
    <m/>
    <s v="Brown"/>
    <s v="IT02"/>
    <d v="2018-01-28T00:00:00"/>
    <x v="33"/>
    <x v="0"/>
    <x v="0"/>
    <s v="Brown"/>
    <x v="0"/>
    <n v="8"/>
    <s v="Developing"/>
    <n v="2053.8200000000002"/>
  </r>
  <r>
    <x v="36"/>
    <s v="John"/>
    <s v="Wilson"/>
    <s v="OPS06"/>
    <d v="2018-01-29T00:00:00"/>
    <x v="34"/>
    <x v="27"/>
    <x v="0"/>
    <s v="John Wilson"/>
    <x v="3"/>
    <n v="8"/>
    <s v="Outstanding"/>
    <n v="13421.4"/>
  </r>
  <r>
    <x v="37"/>
    <s v="Melissa"/>
    <s v="Brown"/>
    <s v="SAL05"/>
    <d v="2018-01-30T00:00:00"/>
    <x v="35"/>
    <x v="13"/>
    <x v="0"/>
    <s v="Melissa Brown"/>
    <x v="4"/>
    <n v="8"/>
    <s v="Exceeding"/>
    <n v="5537.52"/>
  </r>
  <r>
    <x v="38"/>
    <s v="Michael"/>
    <s v="Smith"/>
    <s v="FIN03"/>
    <d v="2018-01-31T00:00:00"/>
    <x v="19"/>
    <x v="23"/>
    <x v="1"/>
    <s v="Michael Smith"/>
    <x v="2"/>
    <s v="N/A"/>
    <s v="Achieving"/>
    <n v="0"/>
  </r>
  <r>
    <x v="39"/>
    <s v="Sarah"/>
    <s v="Miller"/>
    <s v="OPS06"/>
    <d v="2018-02-01T00:00:00"/>
    <x v="36"/>
    <x v="1"/>
    <x v="0"/>
    <s v="Sarah Miller"/>
    <x v="3"/>
    <n v="8"/>
    <s v="No Score"/>
    <n v="0"/>
  </r>
  <r>
    <x v="40"/>
    <s v="Emily"/>
    <s v="Wilson"/>
    <s v="SAL05"/>
    <d v="2018-02-02T00:00:00"/>
    <x v="37"/>
    <x v="28"/>
    <x v="1"/>
    <s v="Emily Wilson"/>
    <x v="4"/>
    <s v="N/A"/>
    <s v="Achieving"/>
    <n v="4312.25"/>
  </r>
  <r>
    <x v="41"/>
    <s v="David"/>
    <s v="Hernandez"/>
    <s v="SAL05"/>
    <d v="2018-02-03T00:00:00"/>
    <x v="38"/>
    <x v="29"/>
    <x v="0"/>
    <s v="David Hernandez"/>
    <x v="4"/>
    <n v="8"/>
    <s v="Developing"/>
    <n v="1048.1400000000001"/>
  </r>
  <r>
    <x v="42"/>
    <s v="James"/>
    <s v="Smith"/>
    <s v="OPS06"/>
    <d v="2018-02-04T00:00:00"/>
    <x v="39"/>
    <x v="13"/>
    <x v="2"/>
    <s v="James Smith"/>
    <x v="3"/>
    <s v="N/A"/>
    <s v="Exceeding"/>
    <n v="5328.4800000000005"/>
  </r>
  <r>
    <x v="43"/>
    <s v="Sarah"/>
    <s v="Williams"/>
    <s v="IT02"/>
    <d v="2018-02-05T00:00:00"/>
    <x v="40"/>
    <x v="7"/>
    <x v="2"/>
    <s v="Sarah Williams"/>
    <x v="0"/>
    <s v="N/A"/>
    <s v="Achieving"/>
    <n v="4094.8"/>
  </r>
  <r>
    <x v="44"/>
    <s v="Amanda"/>
    <s v="Lopez"/>
    <s v="SAL05"/>
    <d v="2018-02-06T00:00:00"/>
    <x v="41"/>
    <x v="2"/>
    <x v="0"/>
    <s v="Amanda Lopez"/>
    <x v="4"/>
    <n v="8"/>
    <s v="Developing"/>
    <n v="1568.04"/>
  </r>
  <r>
    <x v="45"/>
    <s v="Thomas"/>
    <s v="Lopez"/>
    <s v="OPS06"/>
    <d v="2018-02-07T00:00:00"/>
    <x v="42"/>
    <x v="30"/>
    <x v="0"/>
    <s v="Thomas Lopez"/>
    <x v="3"/>
    <n v="8"/>
    <s v="Achieving"/>
    <n v="5274.9000000000005"/>
  </r>
  <r>
    <x v="46"/>
    <s v="Melissa"/>
    <s v="Johnson"/>
    <s v="MKT04"/>
    <d v="2018-02-08T00:00:00"/>
    <x v="43"/>
    <x v="24"/>
    <x v="1"/>
    <s v="Melissa Johnson"/>
    <x v="1"/>
    <s v="N/A"/>
    <s v="Achieving"/>
    <n v="4587.45"/>
  </r>
  <r>
    <x v="47"/>
    <s v="Amanda"/>
    <s v="Johnson"/>
    <s v="OPS06"/>
    <d v="2018-02-09T00:00:00"/>
    <x v="44"/>
    <x v="31"/>
    <x v="2"/>
    <s v="Amanda Johnson"/>
    <x v="3"/>
    <s v="N/A"/>
    <s v="Achieving"/>
    <n v="4996.75"/>
  </r>
  <r>
    <x v="48"/>
    <s v="John"/>
    <s v="Davis"/>
    <s v="IT02"/>
    <d v="2018-02-10T00:00:00"/>
    <x v="45"/>
    <x v="26"/>
    <x v="1"/>
    <s v="John Davis"/>
    <x v="0"/>
    <s v="N/A"/>
    <s v="Needs Improvement"/>
    <n v="0"/>
  </r>
  <r>
    <x v="49"/>
    <s v="James"/>
    <s v="Johnson"/>
    <s v="MKT04"/>
    <d v="2018-02-11T00:00:00"/>
    <x v="46"/>
    <x v="1"/>
    <x v="0"/>
    <s v="James Johnson"/>
    <x v="1"/>
    <n v="8"/>
    <s v="No Score"/>
    <n v="0"/>
  </r>
  <r>
    <x v="50"/>
    <s v="Jane"/>
    <s v="Davis"/>
    <s v="HR01"/>
    <d v="2018-02-12T00:00:00"/>
    <x v="47"/>
    <x v="32"/>
    <x v="0"/>
    <s v="Jane Davis"/>
    <x v="5"/>
    <n v="8"/>
    <s v="Developing"/>
    <n v="1865.8"/>
  </r>
  <r>
    <x v="51"/>
    <s v="Richard"/>
    <s v="Davis"/>
    <s v="OPS06"/>
    <d v="2018-02-13T00:00:00"/>
    <x v="48"/>
    <x v="33"/>
    <x v="2"/>
    <s v="Richard Davis"/>
    <x v="3"/>
    <s v="N/A"/>
    <s v="Developing"/>
    <n v="2310.54"/>
  </r>
  <r>
    <x v="52"/>
    <s v="Thomas"/>
    <s v="Rodriguez"/>
    <s v="FIN03"/>
    <d v="2018-02-14T00:00:00"/>
    <x v="49"/>
    <x v="31"/>
    <x v="0"/>
    <s v="Thomas Rodriguez"/>
    <x v="2"/>
    <n v="8"/>
    <s v="Achieving"/>
    <n v="2796"/>
  </r>
  <r>
    <x v="53"/>
    <s v="Emily"/>
    <s v="Johnson"/>
    <s v="SAL05"/>
    <d v="2018-02-15T00:00:00"/>
    <x v="50"/>
    <x v="26"/>
    <x v="0"/>
    <s v="Emily Johnson"/>
    <x v="4"/>
    <n v="8"/>
    <s v="Needs Improvement"/>
    <n v="0"/>
  </r>
  <r>
    <x v="54"/>
    <s v="Emily"/>
    <s v="Garcia"/>
    <s v="HR01"/>
    <d v="2018-02-16T00:00:00"/>
    <x v="51"/>
    <x v="34"/>
    <x v="0"/>
    <s v="Emily Garcia"/>
    <x v="5"/>
    <n v="8"/>
    <s v="Outstanding"/>
    <n v="14273.64"/>
  </r>
  <r>
    <x v="55"/>
    <s v="Jane"/>
    <s v="Anderson"/>
    <s v="IT02"/>
    <d v="2018-02-17T00:00:00"/>
    <x v="19"/>
    <x v="2"/>
    <x v="0"/>
    <s v="Jane Anderson"/>
    <x v="0"/>
    <n v="8"/>
    <s v="Developing"/>
    <n v="0"/>
  </r>
  <r>
    <x v="56"/>
    <s v="Thomas"/>
    <s v="Garcia"/>
    <s v="OPS06"/>
    <d v="2018-02-18T00:00:00"/>
    <x v="19"/>
    <x v="14"/>
    <x v="0"/>
    <s v="Thomas Garcia"/>
    <x v="3"/>
    <n v="8"/>
    <s v="Achieving"/>
    <n v="0"/>
  </r>
  <r>
    <x v="57"/>
    <s v="David"/>
    <s v="Martinez"/>
    <s v="HR01"/>
    <d v="2018-02-19T00:00:00"/>
    <x v="52"/>
    <x v="35"/>
    <x v="0"/>
    <s v="David Martinez"/>
    <x v="5"/>
    <n v="8"/>
    <s v="Outstanding"/>
    <n v="10998.6"/>
  </r>
  <r>
    <x v="58"/>
    <s v="Emily"/>
    <s v="Brown"/>
    <s v="IT02"/>
    <d v="2018-02-20T00:00:00"/>
    <x v="53"/>
    <x v="1"/>
    <x v="1"/>
    <s v="Emily Brown"/>
    <x v="0"/>
    <s v="N/A"/>
    <s v="No Score"/>
    <n v="0"/>
  </r>
  <r>
    <x v="59"/>
    <s v="Emily"/>
    <s v="Wilson"/>
    <s v="SAL05"/>
    <d v="2018-02-21T00:00:00"/>
    <x v="54"/>
    <x v="13"/>
    <x v="0"/>
    <s v="Emily Wilson"/>
    <x v="4"/>
    <n v="8"/>
    <s v="Exceeding"/>
    <n v="8830.48"/>
  </r>
  <r>
    <x v="60"/>
    <s v="Michael"/>
    <s v="Anderson"/>
    <s v="HR01"/>
    <d v="2018-02-22T00:00:00"/>
    <x v="55"/>
    <x v="36"/>
    <x v="0"/>
    <s v="Michael Anderson"/>
    <x v="5"/>
    <n v="8"/>
    <s v="Needs Improvement"/>
    <n v="0"/>
  </r>
  <r>
    <x v="61"/>
    <s v="Robert"/>
    <s v="Johnson"/>
    <s v="OPS06"/>
    <d v="2018-02-23T00:00:00"/>
    <x v="56"/>
    <x v="37"/>
    <x v="0"/>
    <s v="Robert Johnson"/>
    <x v="3"/>
    <n v="8"/>
    <s v="Exceeding"/>
    <n v="5064.16"/>
  </r>
  <r>
    <x v="62"/>
    <s v="Robert"/>
    <s v="Miller"/>
    <s v="IT02"/>
    <d v="2018-02-24T00:00:00"/>
    <x v="57"/>
    <x v="17"/>
    <x v="0"/>
    <s v="Robert Miller"/>
    <x v="0"/>
    <n v="8"/>
    <s v="Developing"/>
    <n v="1510.38"/>
  </r>
  <r>
    <x v="63"/>
    <s v="Jane"/>
    <s v="Davis"/>
    <s v="FIN03"/>
    <d v="2018-02-25T00:00:00"/>
    <x v="58"/>
    <x v="23"/>
    <x v="0"/>
    <s v="Jane Davis"/>
    <x v="2"/>
    <n v="8"/>
    <s v="Achieving"/>
    <n v="5194.55"/>
  </r>
  <r>
    <x v="64"/>
    <s v="Thomas"/>
    <s v="Davis"/>
    <s v="OPS06"/>
    <d v="2018-02-26T00:00:00"/>
    <x v="19"/>
    <x v="38"/>
    <x v="1"/>
    <s v="Thomas Davis"/>
    <x v="3"/>
    <s v="N/A"/>
    <s v="Needs Improvement"/>
    <n v="0"/>
  </r>
  <r>
    <x v="65"/>
    <s v="Thomas"/>
    <s v="Jones"/>
    <s v="MKT04"/>
    <d v="2018-02-27T00:00:00"/>
    <x v="59"/>
    <x v="39"/>
    <x v="0"/>
    <s v="Thomas Jones"/>
    <x v="1"/>
    <n v="8"/>
    <s v="Outstanding"/>
    <n v="6112.32"/>
  </r>
  <r>
    <x v="66"/>
    <s v="Michael"/>
    <s v="Miller"/>
    <s v="SAL05"/>
    <d v="2018-02-28T00:00:00"/>
    <x v="60"/>
    <x v="1"/>
    <x v="0"/>
    <s v="Michael Miller"/>
    <x v="4"/>
    <n v="8"/>
    <s v="No Score"/>
    <n v="0"/>
  </r>
  <r>
    <x v="67"/>
    <s v="Richard"/>
    <s v="Gonzalez"/>
    <s v="HR01"/>
    <d v="2018-03-01T00:00:00"/>
    <x v="61"/>
    <x v="40"/>
    <x v="2"/>
    <s v="Richard Gonzalez"/>
    <x v="5"/>
    <s v="N/A"/>
    <s v="Exceeding"/>
    <n v="4125.3599999999997"/>
  </r>
  <r>
    <x v="68"/>
    <s v="Melissa"/>
    <s v="Williams"/>
    <s v="HR01"/>
    <d v="2018-03-02T00:00:00"/>
    <x v="19"/>
    <x v="41"/>
    <x v="0"/>
    <s v="Melissa Williams"/>
    <x v="5"/>
    <n v="8"/>
    <s v="Needs Improvement"/>
    <n v="0"/>
  </r>
  <r>
    <x v="69"/>
    <s v="Robert"/>
    <s v="Miller"/>
    <s v="HR01"/>
    <d v="2018-03-03T00:00:00"/>
    <x v="62"/>
    <x v="40"/>
    <x v="0"/>
    <s v="Robert Miller"/>
    <x v="5"/>
    <n v="8"/>
    <s v="Exceeding"/>
    <n v="4421.6000000000004"/>
  </r>
  <r>
    <x v="70"/>
    <s v="William"/>
    <s v="Garcia"/>
    <s v="SAL05"/>
    <d v="2018-03-04T00:00:00"/>
    <x v="63"/>
    <x v="42"/>
    <x v="0"/>
    <s v="William Garcia"/>
    <x v="4"/>
    <n v="8"/>
    <s v="Outstanding"/>
    <n v="7828.2"/>
  </r>
  <r>
    <x v="71"/>
    <s v="John"/>
    <s v="Gonzalez"/>
    <s v="SAL05"/>
    <d v="2018-03-05T00:00:00"/>
    <x v="19"/>
    <x v="24"/>
    <x v="1"/>
    <s v="John Gonzalez"/>
    <x v="4"/>
    <s v="N/A"/>
    <s v="Achieving"/>
    <n v="0"/>
  </r>
  <r>
    <x v="72"/>
    <s v="James"/>
    <s v="Gonzalez"/>
    <s v="SAL05"/>
    <d v="2018-03-06T00:00:00"/>
    <x v="19"/>
    <x v="43"/>
    <x v="1"/>
    <s v="James Gonzalez"/>
    <x v="4"/>
    <s v="N/A"/>
    <s v="Developing"/>
    <n v="0"/>
  </r>
  <r>
    <x v="73"/>
    <s v="Jane"/>
    <s v="Gonzalez"/>
    <s v="SAL05"/>
    <d v="2018-03-07T00:00:00"/>
    <x v="19"/>
    <x v="44"/>
    <x v="0"/>
    <s v="Jane Gonzalez"/>
    <x v="4"/>
    <n v="8"/>
    <s v="Developing"/>
    <n v="0"/>
  </r>
  <r>
    <x v="74"/>
    <s v="David"/>
    <s v="Wilson"/>
    <s v="OPS06"/>
    <d v="2018-03-08T00:00:00"/>
    <x v="64"/>
    <x v="45"/>
    <x v="0"/>
    <s v="David Wilson"/>
    <x v="3"/>
    <n v="8"/>
    <s v="Needs Improvement"/>
    <n v="0"/>
  </r>
  <r>
    <x v="75"/>
    <s v="Jane"/>
    <s v="Gonzalez"/>
    <s v="FIN03"/>
    <d v="2018-03-09T00:00:00"/>
    <x v="65"/>
    <x v="25"/>
    <x v="1"/>
    <s v="Jane Gonzalez"/>
    <x v="2"/>
    <s v="N/A"/>
    <s v="Achieving"/>
    <n v="2259.8000000000002"/>
  </r>
  <r>
    <x v="76"/>
    <s v="Jane"/>
    <s v="Rodriguez"/>
    <s v="IT02"/>
    <d v="2018-03-10T00:00:00"/>
    <x v="66"/>
    <x v="46"/>
    <x v="0"/>
    <s v="Jane Rodriguez"/>
    <x v="0"/>
    <n v="8"/>
    <s v="Developing"/>
    <n v="1724.92"/>
  </r>
  <r>
    <x v="77"/>
    <s v="Emily"/>
    <s v="Miller"/>
    <s v="SAL05"/>
    <d v="2018-03-11T00:00:00"/>
    <x v="67"/>
    <x v="47"/>
    <x v="1"/>
    <s v="Emily Miller"/>
    <x v="4"/>
    <s v="N/A"/>
    <s v="Achieving"/>
    <n v="3517.9500000000003"/>
  </r>
  <r>
    <x v="78"/>
    <s v="Sarah"/>
    <s v="Miller"/>
    <s v="MKT04"/>
    <d v="2018-03-12T00:00:00"/>
    <x v="19"/>
    <x v="48"/>
    <x v="0"/>
    <s v="Sarah Miller"/>
    <x v="1"/>
    <n v="8"/>
    <s v="Exceeding"/>
    <n v="0"/>
  </r>
  <r>
    <x v="79"/>
    <s v="Jessica"/>
    <s v="Garcia"/>
    <s v="OPS06"/>
    <d v="2018-03-13T00:00:00"/>
    <x v="68"/>
    <x v="1"/>
    <x v="0"/>
    <s v="Jessica Garcia"/>
    <x v="3"/>
    <n v="8"/>
    <s v="No Score"/>
    <n v="0"/>
  </r>
  <r>
    <x v="80"/>
    <s v="Richard"/>
    <s v="Smith"/>
    <s v="HR01"/>
    <d v="2018-03-14T00:00:00"/>
    <x v="69"/>
    <x v="14"/>
    <x v="0"/>
    <s v="Richard Smith"/>
    <x v="5"/>
    <n v="8"/>
    <s v="Achieving"/>
    <n v="2384.7000000000003"/>
  </r>
  <r>
    <x v="81"/>
    <s v="Melissa"/>
    <s v="Wilson"/>
    <s v="IT02"/>
    <d v="2018-03-15T00:00:00"/>
    <x v="70"/>
    <x v="49"/>
    <x v="2"/>
    <s v="Melissa Wilson"/>
    <x v="0"/>
    <s v="N/A"/>
    <s v="Achieving"/>
    <n v="4186.2"/>
  </r>
  <r>
    <x v="82"/>
    <s v="Thomas"/>
    <s v="Williams"/>
    <s v="FIN03"/>
    <d v="2018-03-16T00:00:00"/>
    <x v="71"/>
    <x v="46"/>
    <x v="0"/>
    <s v="Thomas Williams"/>
    <x v="2"/>
    <n v="8"/>
    <s v="Developing"/>
    <n v="1965.98"/>
  </r>
  <r>
    <x v="83"/>
    <s v="David"/>
    <s v="Williams"/>
    <s v="FIN03"/>
    <d v="2018-03-17T00:00:00"/>
    <x v="19"/>
    <x v="22"/>
    <x v="0"/>
    <s v="David Williams"/>
    <x v="2"/>
    <n v="8"/>
    <s v="Developing"/>
    <n v="0"/>
  </r>
  <r>
    <x v="84"/>
    <s v="John"/>
    <s v="Johnson"/>
    <s v="IT02"/>
    <d v="2018-03-18T00:00:00"/>
    <x v="72"/>
    <x v="3"/>
    <x v="0"/>
    <s v="John Johnson"/>
    <x v="0"/>
    <n v="8"/>
    <s v="Achieving"/>
    <n v="2614.3500000000004"/>
  </r>
  <r>
    <x v="85"/>
    <s v="Richard"/>
    <s v="Gonzalez"/>
    <s v="IT02"/>
    <d v="2018-03-19T00:00:00"/>
    <x v="73"/>
    <x v="27"/>
    <x v="0"/>
    <s v="Richard Gonzalez"/>
    <x v="0"/>
    <n v="8"/>
    <s v="Outstanding"/>
    <n v="9915.9599999999991"/>
  </r>
  <r>
    <x v="86"/>
    <s v="Melissa"/>
    <s v="Anderson"/>
    <s v="OPS06"/>
    <d v="2018-03-20T00:00:00"/>
    <x v="74"/>
    <x v="45"/>
    <x v="0"/>
    <s v="Melissa Anderson"/>
    <x v="3"/>
    <n v="8"/>
    <s v="Needs Improvement"/>
    <n v="0"/>
  </r>
  <r>
    <x v="87"/>
    <s v="Emily"/>
    <s v="Gonzalez"/>
    <s v="HR01"/>
    <d v="2018-03-21T00:00:00"/>
    <x v="75"/>
    <x v="13"/>
    <x v="0"/>
    <s v="Emily Gonzalez"/>
    <x v="5"/>
    <n v="8"/>
    <s v="Exceeding"/>
    <n v="6898.56"/>
  </r>
  <r>
    <x v="88"/>
    <s v="Jane"/>
    <s v="Davis"/>
    <s v="IT02"/>
    <d v="2018-03-22T00:00:00"/>
    <x v="76"/>
    <x v="10"/>
    <x v="0"/>
    <s v="Jane Davis"/>
    <x v="0"/>
    <n v="8"/>
    <s v="Needs Improvement"/>
    <n v="0"/>
  </r>
  <r>
    <x v="89"/>
    <s v="William"/>
    <s v="Gonzalez"/>
    <s v="OPS06"/>
    <d v="2018-03-23T00:00:00"/>
    <x v="77"/>
    <x v="20"/>
    <x v="0"/>
    <s v="William Gonzalez"/>
    <x v="3"/>
    <n v="8"/>
    <s v="Exceeding"/>
    <n v="5494.64"/>
  </r>
  <r>
    <x v="90"/>
    <s v="Thomas"/>
    <s v="Jones"/>
    <s v="FIN03"/>
    <d v="2018-03-24T00:00:00"/>
    <x v="78"/>
    <x v="50"/>
    <x v="1"/>
    <s v="Thomas Jones"/>
    <x v="2"/>
    <s v="N/A"/>
    <s v="Developing"/>
    <n v="1678.64"/>
  </r>
  <r>
    <x v="91"/>
    <s v="Jessica"/>
    <s v="Anderson"/>
    <s v="HR01"/>
    <d v="2018-03-25T00:00:00"/>
    <x v="79"/>
    <x v="7"/>
    <x v="0"/>
    <s v="Jessica Anderson"/>
    <x v="5"/>
    <n v="8"/>
    <s v="Achieving"/>
    <n v="2803.65"/>
  </r>
  <r>
    <x v="92"/>
    <s v="Melissa"/>
    <s v="Johnson"/>
    <s v="IT02"/>
    <d v="2018-03-26T00:00:00"/>
    <x v="80"/>
    <x v="21"/>
    <x v="0"/>
    <s v="Melissa Johnson"/>
    <x v="0"/>
    <n v="8"/>
    <s v="Developing"/>
    <n v="1761.1200000000001"/>
  </r>
  <r>
    <x v="93"/>
    <s v="Thomas"/>
    <s v="Miller"/>
    <s v="OPS06"/>
    <d v="2018-03-27T00:00:00"/>
    <x v="81"/>
    <x v="31"/>
    <x v="1"/>
    <s v="Thomas Miller"/>
    <x v="3"/>
    <s v="N/A"/>
    <s v="Achieving"/>
    <n v="3370.7000000000003"/>
  </r>
  <r>
    <x v="94"/>
    <s v="William"/>
    <s v="Gonzalez"/>
    <s v="SAL05"/>
    <d v="2018-03-28T00:00:00"/>
    <x v="82"/>
    <x v="46"/>
    <x v="0"/>
    <s v="William Gonzalez"/>
    <x v="4"/>
    <n v="8"/>
    <s v="Developing"/>
    <n v="2305.7600000000002"/>
  </r>
  <r>
    <x v="95"/>
    <m/>
    <s v="Smith"/>
    <s v="SAL05"/>
    <d v="2018-03-29T00:00:00"/>
    <x v="83"/>
    <x v="8"/>
    <x v="0"/>
    <s v="Smith"/>
    <x v="4"/>
    <n v="8"/>
    <s v="Developing"/>
    <n v="1602.8"/>
  </r>
  <r>
    <x v="96"/>
    <s v="John"/>
    <s v="Johnson"/>
    <s v="IT02"/>
    <d v="2018-03-30T00:00:00"/>
    <x v="84"/>
    <x v="51"/>
    <x v="0"/>
    <s v="John Johnson"/>
    <x v="0"/>
    <n v="8"/>
    <s v="Developing"/>
    <n v="1461.74"/>
  </r>
  <r>
    <x v="97"/>
    <s v="Jane"/>
    <s v="Johnson"/>
    <s v="SAL05"/>
    <d v="2018-03-31T00:00:00"/>
    <x v="85"/>
    <x v="45"/>
    <x v="0"/>
    <s v="Jane Johnson"/>
    <x v="4"/>
    <n v="8"/>
    <s v="Needs Improvement"/>
    <n v="0"/>
  </r>
  <r>
    <x v="98"/>
    <s v="John"/>
    <s v="Jones"/>
    <s v="IT02"/>
    <d v="2018-04-01T00:00:00"/>
    <x v="19"/>
    <x v="36"/>
    <x v="0"/>
    <s v="John Jones"/>
    <x v="0"/>
    <n v="8"/>
    <s v="Needs Improvement"/>
    <n v="0"/>
  </r>
  <r>
    <x v="99"/>
    <s v="Jane"/>
    <s v="Lopez"/>
    <s v="MKT04"/>
    <d v="2018-04-02T00:00:00"/>
    <x v="86"/>
    <x v="31"/>
    <x v="1"/>
    <s v="Jane Lopez"/>
    <x v="1"/>
    <s v="N/A"/>
    <s v="Achieving"/>
    <n v="5087.5"/>
  </r>
  <r>
    <x v="100"/>
    <s v="Melissa"/>
    <s v="Gonzalez"/>
    <s v="MKT04"/>
    <d v="2018-04-03T00:00:00"/>
    <x v="87"/>
    <x v="7"/>
    <x v="0"/>
    <s v="Melissa Gonzalez"/>
    <x v="1"/>
    <n v="8"/>
    <s v="Achieving"/>
    <n v="4149.6000000000004"/>
  </r>
  <r>
    <x v="101"/>
    <s v="William"/>
    <s v="Davis"/>
    <s v="IT02"/>
    <d v="2018-04-04T00:00:00"/>
    <x v="88"/>
    <x v="52"/>
    <x v="0"/>
    <s v="William Davis"/>
    <x v="0"/>
    <n v="8"/>
    <s v="Developing"/>
    <n v="998.84"/>
  </r>
  <r>
    <x v="102"/>
    <s v="John"/>
    <s v="Smith"/>
    <s v="OPS06"/>
    <d v="2018-04-05T00:00:00"/>
    <x v="89"/>
    <x v="8"/>
    <x v="0"/>
    <s v="John Smith"/>
    <x v="3"/>
    <n v="8"/>
    <s v="Developing"/>
    <n v="1781.2"/>
  </r>
  <r>
    <x v="103"/>
    <s v="James"/>
    <s v="Gonzalez"/>
    <s v="IT02"/>
    <d v="2018-04-06T00:00:00"/>
    <x v="90"/>
    <x v="27"/>
    <x v="0"/>
    <s v="James Gonzalez"/>
    <x v="0"/>
    <n v="8"/>
    <s v="Outstanding"/>
    <n v="6454.32"/>
  </r>
  <r>
    <x v="104"/>
    <s v="Emily"/>
    <s v="Johnson"/>
    <s v="OPS06"/>
    <d v="2018-04-07T00:00:00"/>
    <x v="91"/>
    <x v="1"/>
    <x v="0"/>
    <s v="Emily Johnson"/>
    <x v="3"/>
    <n v="8"/>
    <s v="No Score"/>
    <n v="0"/>
  </r>
  <r>
    <x v="105"/>
    <s v="William"/>
    <s v="Williams"/>
    <s v="MKT04"/>
    <d v="2018-04-08T00:00:00"/>
    <x v="92"/>
    <x v="4"/>
    <x v="1"/>
    <s v="William Williams"/>
    <x v="1"/>
    <s v="N/A"/>
    <s v="Needs Improvement"/>
    <n v="0"/>
  </r>
  <r>
    <x v="106"/>
    <s v="James"/>
    <s v="Jones"/>
    <s v="IT02"/>
    <d v="2018-04-09T00:00:00"/>
    <x v="93"/>
    <x v="16"/>
    <x v="0"/>
    <s v="James Jones"/>
    <x v="0"/>
    <n v="8"/>
    <s v="Exceeding"/>
    <n v="7333.76"/>
  </r>
  <r>
    <x v="107"/>
    <s v="Jessica"/>
    <s v="Gonzalez"/>
    <s v="HR01"/>
    <d v="2018-04-10T00:00:00"/>
    <x v="94"/>
    <x v="11"/>
    <x v="0"/>
    <s v="Jessica Gonzalez"/>
    <x v="5"/>
    <n v="8"/>
    <s v="Achieving"/>
    <n v="3886.8500000000004"/>
  </r>
  <r>
    <x v="108"/>
    <s v="Sarah"/>
    <s v="Miller"/>
    <s v="SAL05"/>
    <d v="2018-04-11T00:00:00"/>
    <x v="95"/>
    <x v="37"/>
    <x v="0"/>
    <s v="Sarah Miller"/>
    <x v="4"/>
    <n v="8"/>
    <s v="Exceeding"/>
    <n v="7654.88"/>
  </r>
  <r>
    <x v="109"/>
    <s v="Jessica"/>
    <s v="Smith"/>
    <s v="SAL05"/>
    <d v="2018-04-12T00:00:00"/>
    <x v="96"/>
    <x v="41"/>
    <x v="0"/>
    <s v="Jessica Smith"/>
    <x v="4"/>
    <n v="8"/>
    <s v="Needs Improvement"/>
    <n v="0"/>
  </r>
  <r>
    <x v="110"/>
    <s v="Thomas"/>
    <s v="Jones"/>
    <s v="OPS06"/>
    <d v="2018-04-13T00:00:00"/>
    <x v="97"/>
    <x v="24"/>
    <x v="0"/>
    <s v="Thomas Jones"/>
    <x v="3"/>
    <n v="8"/>
    <s v="Achieving"/>
    <n v="5456.05"/>
  </r>
  <r>
    <x v="111"/>
    <s v="Amanda"/>
    <s v="Brown"/>
    <s v="MKT04"/>
    <d v="2018-04-14T00:00:00"/>
    <x v="98"/>
    <x v="40"/>
    <x v="0"/>
    <s v="Amanda Brown"/>
    <x v="1"/>
    <n v="8"/>
    <s v="Exceeding"/>
    <n v="9023.2800000000007"/>
  </r>
  <r>
    <x v="112"/>
    <s v="Robert"/>
    <s v="Martinez"/>
    <s v="IT02"/>
    <d v="2018-04-15T00:00:00"/>
    <x v="99"/>
    <x v="28"/>
    <x v="0"/>
    <s v="Robert Martinez"/>
    <x v="0"/>
    <n v="8"/>
    <s v="Achieving"/>
    <n v="5900.4000000000005"/>
  </r>
  <r>
    <x v="113"/>
    <s v="Thomas"/>
    <s v="Miller"/>
    <s v="IT02"/>
    <d v="2018-04-16T00:00:00"/>
    <x v="100"/>
    <x v="53"/>
    <x v="0"/>
    <s v="Thomas Miller"/>
    <x v="0"/>
    <n v="8"/>
    <s v="Achieving"/>
    <n v="3718.5"/>
  </r>
  <r>
    <x v="114"/>
    <s v="David"/>
    <s v="Rodriguez"/>
    <s v="IT02"/>
    <d v="2018-04-17T00:00:00"/>
    <x v="101"/>
    <x v="7"/>
    <x v="0"/>
    <s v="David Rodriguez"/>
    <x v="0"/>
    <n v="8"/>
    <s v="Achieving"/>
    <n v="3890.9500000000003"/>
  </r>
  <r>
    <x v="115"/>
    <s v="Jane"/>
    <s v="Miller"/>
    <s v="MKT04"/>
    <d v="2018-04-18T00:00:00"/>
    <x v="102"/>
    <x v="54"/>
    <x v="0"/>
    <s v="Jane Miller"/>
    <x v="1"/>
    <n v="8"/>
    <s v="Achieving"/>
    <n v="2437.4"/>
  </r>
  <r>
    <x v="116"/>
    <s v="James"/>
    <s v="Rodriguez"/>
    <s v="OPS06"/>
    <d v="2018-04-19T00:00:00"/>
    <x v="103"/>
    <x v="55"/>
    <x v="2"/>
    <s v="James Rodriguez"/>
    <x v="3"/>
    <s v="N/A"/>
    <s v="Needs Improvement"/>
    <n v="0"/>
  </r>
  <r>
    <x v="117"/>
    <s v="Sarah"/>
    <s v="Rodriguez"/>
    <s v="HR01"/>
    <d v="2018-04-20T00:00:00"/>
    <x v="104"/>
    <x v="11"/>
    <x v="0"/>
    <s v="Sarah Rodriguez"/>
    <x v="5"/>
    <n v="8"/>
    <s v="Achieving"/>
    <n v="5763"/>
  </r>
  <r>
    <x v="118"/>
    <s v="Sarah"/>
    <s v="Wilson"/>
    <s v="SAL05"/>
    <d v="2018-04-21T00:00:00"/>
    <x v="19"/>
    <x v="5"/>
    <x v="0"/>
    <s v="Sarah Wilson"/>
    <x v="4"/>
    <n v="8"/>
    <s v="Needs Improvement"/>
    <n v="0"/>
  </r>
  <r>
    <x v="119"/>
    <s v="Melissa"/>
    <s v="Brown"/>
    <s v="IT02"/>
    <d v="2018-04-22T00:00:00"/>
    <x v="19"/>
    <x v="51"/>
    <x v="1"/>
    <s v="Melissa Brown"/>
    <x v="0"/>
    <s v="N/A"/>
    <s v="Developing"/>
    <n v="0"/>
  </r>
  <r>
    <x v="120"/>
    <s v="Robert"/>
    <s v="Williams"/>
    <s v="SAL05"/>
    <d v="2018-04-23T00:00:00"/>
    <x v="19"/>
    <x v="30"/>
    <x v="0"/>
    <s v="Robert Williams"/>
    <x v="4"/>
    <n v="8"/>
    <s v="Achieving"/>
    <n v="0"/>
  </r>
  <r>
    <x v="121"/>
    <s v="Melissa"/>
    <s v="Rodriguez"/>
    <s v="OPS06"/>
    <d v="2018-04-24T00:00:00"/>
    <x v="105"/>
    <x v="25"/>
    <x v="0"/>
    <s v="Melissa Rodriguez"/>
    <x v="3"/>
    <n v="8"/>
    <s v="Achieving"/>
    <n v="3031.15"/>
  </r>
  <r>
    <x v="122"/>
    <s v="James"/>
    <s v="Johnson"/>
    <s v="HR01"/>
    <d v="2018-04-25T00:00:00"/>
    <x v="106"/>
    <x v="13"/>
    <x v="0"/>
    <s v="James Johnson"/>
    <x v="5"/>
    <n v="8"/>
    <s v="Exceeding"/>
    <n v="5447.36"/>
  </r>
  <r>
    <x v="123"/>
    <s v="Michael"/>
    <s v="Wilson"/>
    <s v="MKT04"/>
    <d v="2018-04-26T00:00:00"/>
    <x v="107"/>
    <x v="22"/>
    <x v="0"/>
    <s v="Michael Wilson"/>
    <x v="1"/>
    <n v="8"/>
    <s v="Developing"/>
    <n v="1763.1000000000001"/>
  </r>
  <r>
    <x v="124"/>
    <s v="William"/>
    <s v="Jones"/>
    <s v="MKT04"/>
    <d v="2018-04-27T00:00:00"/>
    <x v="108"/>
    <x v="12"/>
    <x v="0"/>
    <s v="William Jones"/>
    <x v="1"/>
    <n v="8"/>
    <s v="Needs Improvement"/>
    <n v="0"/>
  </r>
  <r>
    <x v="125"/>
    <s v="William"/>
    <s v="Williams"/>
    <s v="IT02"/>
    <d v="2018-04-28T00:00:00"/>
    <x v="109"/>
    <x v="45"/>
    <x v="0"/>
    <s v="William Williams"/>
    <x v="0"/>
    <n v="8"/>
    <s v="Needs Improvement"/>
    <n v="0"/>
  </r>
  <r>
    <x v="126"/>
    <s v="David"/>
    <s v="Williams"/>
    <s v="HR01"/>
    <d v="2018-04-29T00:00:00"/>
    <x v="110"/>
    <x v="56"/>
    <x v="0"/>
    <s v="David Williams"/>
    <x v="5"/>
    <n v="8"/>
    <s v="Needs Improvement"/>
    <n v="0"/>
  </r>
  <r>
    <x v="127"/>
    <s v="Jane"/>
    <s v="Davis"/>
    <s v="FIN03"/>
    <d v="2018-04-30T00:00:00"/>
    <x v="111"/>
    <x v="35"/>
    <x v="0"/>
    <s v="Jane Davis"/>
    <x v="2"/>
    <n v="8"/>
    <s v="Outstanding"/>
    <n v="5566.8"/>
  </r>
  <r>
    <x v="128"/>
    <s v="John"/>
    <s v="Martinez"/>
    <s v="HR01"/>
    <d v="2018-05-01T00:00:00"/>
    <x v="112"/>
    <x v="20"/>
    <x v="1"/>
    <s v="John Martinez"/>
    <x v="5"/>
    <s v="N/A"/>
    <s v="Exceeding"/>
    <n v="8953.6"/>
  </r>
  <r>
    <x v="129"/>
    <s v="David"/>
    <s v="Anderson"/>
    <s v="HR01"/>
    <d v="2018-05-02T00:00:00"/>
    <x v="113"/>
    <x v="12"/>
    <x v="0"/>
    <s v="David Anderson"/>
    <x v="5"/>
    <n v="8"/>
    <s v="Needs Improvement"/>
    <n v="0"/>
  </r>
  <r>
    <x v="130"/>
    <s v="Sarah"/>
    <s v="Smith"/>
    <s v="SAL05"/>
    <d v="2018-05-03T00:00:00"/>
    <x v="114"/>
    <x v="16"/>
    <x v="2"/>
    <s v="Sarah Smith"/>
    <x v="4"/>
    <s v="N/A"/>
    <s v="Exceeding"/>
    <n v="8849.44"/>
  </r>
  <r>
    <x v="131"/>
    <s v="Melissa"/>
    <s v="Hernandez"/>
    <s v="OPS06"/>
    <d v="2018-05-04T00:00:00"/>
    <x v="115"/>
    <x v="25"/>
    <x v="1"/>
    <s v="Melissa Hernandez"/>
    <x v="3"/>
    <s v="N/A"/>
    <s v="Achieving"/>
    <n v="5419.75"/>
  </r>
  <r>
    <x v="132"/>
    <s v="Melissa"/>
    <s v="Johnson"/>
    <s v="FIN03"/>
    <d v="2018-05-05T00:00:00"/>
    <x v="116"/>
    <x v="51"/>
    <x v="0"/>
    <s v="Melissa Johnson"/>
    <x v="2"/>
    <n v="8"/>
    <s v="Developing"/>
    <n v="1760.1000000000001"/>
  </r>
  <r>
    <x v="133"/>
    <s v="Jane"/>
    <s v="Garcia"/>
    <s v="MKT04"/>
    <d v="2018-05-06T00:00:00"/>
    <x v="117"/>
    <x v="53"/>
    <x v="0"/>
    <s v="Jane Garcia"/>
    <x v="1"/>
    <n v="8"/>
    <s v="Achieving"/>
    <n v="4150.3500000000004"/>
  </r>
  <r>
    <x v="134"/>
    <s v="David"/>
    <s v="Davis"/>
    <s v="IT02"/>
    <d v="2018-05-07T00:00:00"/>
    <x v="118"/>
    <x v="22"/>
    <x v="0"/>
    <s v="David Davis"/>
    <x v="0"/>
    <n v="8"/>
    <s v="Developing"/>
    <n v="1230.94"/>
  </r>
  <r>
    <x v="135"/>
    <s v="James"/>
    <s v="Wilson"/>
    <s v="SAL05"/>
    <d v="2018-05-08T00:00:00"/>
    <x v="19"/>
    <x v="0"/>
    <x v="0"/>
    <s v="James Wilson"/>
    <x v="4"/>
    <n v="8"/>
    <s v="Developing"/>
    <n v="0"/>
  </r>
  <r>
    <x v="136"/>
    <s v="Richard"/>
    <s v="Johnson"/>
    <s v="OPS06"/>
    <d v="2018-05-09T00:00:00"/>
    <x v="119"/>
    <x v="57"/>
    <x v="1"/>
    <s v="Richard Johnson"/>
    <x v="3"/>
    <s v="N/A"/>
    <s v="Exceeding"/>
    <n v="4031.92"/>
  </r>
  <r>
    <x v="137"/>
    <s v="Richard"/>
    <s v="Williams"/>
    <s v="FIN03"/>
    <d v="2018-05-10T00:00:00"/>
    <x v="19"/>
    <x v="9"/>
    <x v="0"/>
    <s v="Richard Williams"/>
    <x v="2"/>
    <n v="8"/>
    <s v="Developing"/>
    <n v="0"/>
  </r>
  <r>
    <x v="138"/>
    <s v="John"/>
    <s v="Hernandez"/>
    <s v="OPS06"/>
    <d v="2018-05-11T00:00:00"/>
    <x v="120"/>
    <x v="22"/>
    <x v="0"/>
    <s v="John Hernandez"/>
    <x v="3"/>
    <n v="8"/>
    <s v="Developing"/>
    <n v="1054.4000000000001"/>
  </r>
  <r>
    <x v="139"/>
    <s v="Sarah"/>
    <s v="Gonzalez"/>
    <s v="OPS06"/>
    <d v="2018-05-12T00:00:00"/>
    <x v="121"/>
    <x v="27"/>
    <x v="0"/>
    <s v="Sarah Gonzalez"/>
    <x v="3"/>
    <n v="8"/>
    <s v="Outstanding"/>
    <n v="7807.7999999999993"/>
  </r>
  <r>
    <x v="140"/>
    <s v="Melissa"/>
    <s v="Hernandez"/>
    <s v="SAL05"/>
    <d v="2018-05-13T00:00:00"/>
    <x v="19"/>
    <x v="48"/>
    <x v="2"/>
    <s v="Melissa Hernandez"/>
    <x v="4"/>
    <s v="N/A"/>
    <s v="Exceeding"/>
    <n v="0"/>
  </r>
  <r>
    <x v="141"/>
    <s v="Melissa"/>
    <s v="Hernandez"/>
    <s v="OPS06"/>
    <d v="2018-05-14T00:00:00"/>
    <x v="122"/>
    <x v="50"/>
    <x v="2"/>
    <s v="Melissa Hernandez"/>
    <x v="3"/>
    <s v="N/A"/>
    <s v="Developing"/>
    <n v="2162.38"/>
  </r>
  <r>
    <x v="142"/>
    <s v="John"/>
    <s v="Davis"/>
    <s v="IT02"/>
    <d v="2018-05-15T00:00:00"/>
    <x v="19"/>
    <x v="34"/>
    <x v="0"/>
    <s v="John Davis"/>
    <x v="0"/>
    <n v="8"/>
    <s v="Outstanding"/>
    <n v="0"/>
  </r>
  <r>
    <x v="143"/>
    <s v="Richard"/>
    <s v="Davis"/>
    <s v="HR01"/>
    <d v="2018-05-16T00:00:00"/>
    <x v="123"/>
    <x v="0"/>
    <x v="1"/>
    <s v="Richard Davis"/>
    <x v="5"/>
    <s v="N/A"/>
    <s v="Developing"/>
    <n v="2137.92"/>
  </r>
  <r>
    <x v="144"/>
    <m/>
    <s v="Jones"/>
    <s v="IT02"/>
    <d v="2018-05-17T00:00:00"/>
    <x v="124"/>
    <x v="19"/>
    <x v="0"/>
    <s v="Jones"/>
    <x v="0"/>
    <n v="8"/>
    <s v="Developing"/>
    <n v="2257.7400000000002"/>
  </r>
  <r>
    <x v="145"/>
    <s v="William"/>
    <s v="Rodriguez"/>
    <s v="FIN03"/>
    <d v="2018-05-18T00:00:00"/>
    <x v="125"/>
    <x v="7"/>
    <x v="0"/>
    <s v="William Rodriguez"/>
    <x v="2"/>
    <n v="8"/>
    <s v="Achieving"/>
    <n v="4272.8500000000004"/>
  </r>
  <r>
    <x v="146"/>
    <s v="Melissa"/>
    <s v="Miller"/>
    <s v="SAL05"/>
    <d v="2018-05-19T00:00:00"/>
    <x v="126"/>
    <x v="26"/>
    <x v="0"/>
    <s v="Melissa Miller"/>
    <x v="4"/>
    <n v="8"/>
    <s v="Needs Improvement"/>
    <n v="0"/>
  </r>
  <r>
    <x v="147"/>
    <s v="Emily"/>
    <s v="Martinez"/>
    <s v="OPS06"/>
    <d v="2018-05-20T00:00:00"/>
    <x v="127"/>
    <x v="58"/>
    <x v="1"/>
    <s v="Emily Martinez"/>
    <x v="3"/>
    <s v="N/A"/>
    <s v="Achieving"/>
    <n v="2389.7000000000003"/>
  </r>
  <r>
    <x v="148"/>
    <s v="James"/>
    <s v="Rodriguez"/>
    <s v="MKT04"/>
    <d v="2018-05-21T00:00:00"/>
    <x v="128"/>
    <x v="47"/>
    <x v="0"/>
    <s v="James Rodriguez"/>
    <x v="1"/>
    <n v="8"/>
    <s v="Achieving"/>
    <n v="4654.7"/>
  </r>
  <r>
    <x v="149"/>
    <s v="Amanda"/>
    <s v="Brown"/>
    <s v="IT02"/>
    <d v="2018-05-22T00:00:00"/>
    <x v="129"/>
    <x v="37"/>
    <x v="0"/>
    <s v="Amanda Brown"/>
    <x v="0"/>
    <n v="8"/>
    <s v="Exceeding"/>
    <n v="9490.71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IT02"/>
    <d v="2017-12-24T00:00:00"/>
    <x v="0"/>
    <x v="0"/>
    <x v="0"/>
    <s v="Emily Brown"/>
    <x v="0"/>
    <n v="8"/>
    <x v="0"/>
    <n v="1007.22"/>
  </r>
  <r>
    <x v="1"/>
    <s v="Richard"/>
    <s v="Hernandez"/>
    <s v="MKT04"/>
    <d v="2017-12-25T00:00:00"/>
    <x v="1"/>
    <x v="1"/>
    <x v="0"/>
    <s v="Richard Hernandez"/>
    <x v="1"/>
    <n v="8"/>
    <x v="1"/>
    <n v="0"/>
  </r>
  <r>
    <x v="2"/>
    <s v="Emily"/>
    <s v="Gonzalez"/>
    <s v="IT02"/>
    <d v="2017-12-26T00:00:00"/>
    <x v="2"/>
    <x v="2"/>
    <x v="1"/>
    <s v="Emily Gonzalez"/>
    <x v="0"/>
    <s v="N/A"/>
    <x v="0"/>
    <n v="2288.5"/>
  </r>
  <r>
    <x v="3"/>
    <s v="John"/>
    <s v="Martinez"/>
    <s v="FIN03"/>
    <d v="2017-12-27T00:00:00"/>
    <x v="3"/>
    <x v="3"/>
    <x v="0"/>
    <s v="John Martinez"/>
    <x v="2"/>
    <n v="8"/>
    <x v="2"/>
    <n v="5191.55"/>
  </r>
  <r>
    <x v="4"/>
    <s v="Thomas"/>
    <s v="Smith"/>
    <s v="IT02"/>
    <d v="2017-12-28T00:00:00"/>
    <x v="4"/>
    <x v="4"/>
    <x v="1"/>
    <s v="Thomas Smith"/>
    <x v="0"/>
    <s v="N/A"/>
    <x v="3"/>
    <n v="0"/>
  </r>
  <r>
    <x v="5"/>
    <s v="Emily"/>
    <s v="Johnson"/>
    <s v="OPS06"/>
    <d v="2017-12-29T00:00:00"/>
    <x v="5"/>
    <x v="5"/>
    <x v="0"/>
    <s v="Emily Johnson"/>
    <x v="3"/>
    <n v="8"/>
    <x v="3"/>
    <n v="0"/>
  </r>
  <r>
    <x v="6"/>
    <s v="John"/>
    <s v="Wilson"/>
    <s v="OPS06"/>
    <d v="2017-12-30T00:00:00"/>
    <x v="6"/>
    <x v="3"/>
    <x v="1"/>
    <s v="John Wilson"/>
    <x v="3"/>
    <s v="N/A"/>
    <x v="2"/>
    <n v="2999"/>
  </r>
  <r>
    <x v="7"/>
    <s v="Jessica"/>
    <s v="Smith"/>
    <s v="OPS06"/>
    <d v="2017-12-31T00:00:00"/>
    <x v="7"/>
    <x v="6"/>
    <x v="0"/>
    <s v="Jessica Smith"/>
    <x v="3"/>
    <n v="8"/>
    <x v="3"/>
    <n v="0"/>
  </r>
  <r>
    <x v="8"/>
    <m/>
    <s v="Rodriguez"/>
    <s v="FIN03"/>
    <d v="2018-01-01T00:00:00"/>
    <x v="8"/>
    <x v="7"/>
    <x v="0"/>
    <s v="Rodriguez"/>
    <x v="2"/>
    <n v="8"/>
    <x v="2"/>
    <n v="5106.9500000000007"/>
  </r>
  <r>
    <x v="9"/>
    <s v="Michael"/>
    <s v="Martinez"/>
    <s v="SAL05"/>
    <d v="2018-01-02T00:00:00"/>
    <x v="9"/>
    <x v="8"/>
    <x v="0"/>
    <s v="Michael Martinez"/>
    <x v="4"/>
    <n v="8"/>
    <x v="0"/>
    <n v="1899.96"/>
  </r>
  <r>
    <x v="10"/>
    <s v="Emily"/>
    <s v="Miller"/>
    <s v="SAL05"/>
    <d v="2018-01-03T00:00:00"/>
    <x v="10"/>
    <x v="5"/>
    <x v="0"/>
    <s v="Emily Miller"/>
    <x v="4"/>
    <n v="8"/>
    <x v="3"/>
    <n v="0"/>
  </r>
  <r>
    <x v="11"/>
    <s v="Emily"/>
    <s v="Hernandez"/>
    <s v="IT02"/>
    <d v="2018-01-04T00:00:00"/>
    <x v="11"/>
    <x v="9"/>
    <x v="0"/>
    <s v="Emily Hernandez"/>
    <x v="0"/>
    <n v="8"/>
    <x v="0"/>
    <n v="1538.3600000000001"/>
  </r>
  <r>
    <x v="12"/>
    <s v="Jane"/>
    <s v="Williams"/>
    <s v="MKT04"/>
    <d v="2018-01-05T00:00:00"/>
    <x v="12"/>
    <x v="10"/>
    <x v="0"/>
    <s v="Jane Williams"/>
    <x v="1"/>
    <n v="8"/>
    <x v="3"/>
    <n v="0"/>
  </r>
  <r>
    <x v="13"/>
    <s v="Jane"/>
    <s v="Miller"/>
    <s v="MKT04"/>
    <d v="2018-01-06T00:00:00"/>
    <x v="13"/>
    <x v="2"/>
    <x v="0"/>
    <s v="Jane Miller"/>
    <x v="1"/>
    <n v="8"/>
    <x v="0"/>
    <n v="1999.8"/>
  </r>
  <r>
    <x v="14"/>
    <s v="Robert"/>
    <s v="Jones"/>
    <s v="MKT04"/>
    <d v="2018-01-07T00:00:00"/>
    <x v="14"/>
    <x v="1"/>
    <x v="0"/>
    <s v="Robert Jones"/>
    <x v="1"/>
    <n v="8"/>
    <x v="1"/>
    <n v="0"/>
  </r>
  <r>
    <x v="15"/>
    <s v="Thomas"/>
    <s v="Rodriguez"/>
    <s v="SAL05"/>
    <d v="2018-01-08T00:00:00"/>
    <x v="15"/>
    <x v="11"/>
    <x v="0"/>
    <s v="Thomas Rodriguez"/>
    <x v="4"/>
    <n v="8"/>
    <x v="2"/>
    <n v="3264.5"/>
  </r>
  <r>
    <x v="16"/>
    <s v="Emily"/>
    <s v="Davis"/>
    <s v="IT02"/>
    <d v="2018-01-09T00:00:00"/>
    <x v="16"/>
    <x v="12"/>
    <x v="0"/>
    <s v="Emily Davis"/>
    <x v="0"/>
    <n v="8"/>
    <x v="3"/>
    <n v="0"/>
  </r>
  <r>
    <x v="17"/>
    <s v="James"/>
    <s v="Martinez"/>
    <s v="SAL05"/>
    <d v="2018-01-10T00:00:00"/>
    <x v="17"/>
    <x v="5"/>
    <x v="0"/>
    <s v="James Martinez"/>
    <x v="4"/>
    <n v="8"/>
    <x v="3"/>
    <n v="0"/>
  </r>
  <r>
    <x v="18"/>
    <s v="Ashley"/>
    <s v="Lopez"/>
    <s v="MKT04"/>
    <d v="2018-01-11T00:00:00"/>
    <x v="18"/>
    <x v="13"/>
    <x v="0"/>
    <s v="Ashley Lopez"/>
    <x v="1"/>
    <n v="8"/>
    <x v="4"/>
    <n v="5918.72"/>
  </r>
  <r>
    <x v="19"/>
    <s v="Amanda"/>
    <s v="Gonzalez"/>
    <s v="IT02"/>
    <d v="2018-01-12T00:00:00"/>
    <x v="19"/>
    <x v="14"/>
    <x v="0"/>
    <s v="Amanda Gonzalez"/>
    <x v="0"/>
    <n v="8"/>
    <x v="2"/>
    <n v="0"/>
  </r>
  <r>
    <x v="20"/>
    <s v="Michael"/>
    <s v="Hernandez"/>
    <s v="FIN03"/>
    <d v="2018-01-13T00:00:00"/>
    <x v="20"/>
    <x v="15"/>
    <x v="0"/>
    <s v="Michael Hernandez"/>
    <x v="2"/>
    <n v="8"/>
    <x v="0"/>
    <n v="2370.54"/>
  </r>
  <r>
    <x v="21"/>
    <s v="Richard"/>
    <s v="Hernandez"/>
    <s v="MKT04"/>
    <d v="2018-01-14T00:00:00"/>
    <x v="19"/>
    <x v="16"/>
    <x v="0"/>
    <s v="Richard Hernandez"/>
    <x v="1"/>
    <n v="8"/>
    <x v="4"/>
    <n v="0"/>
  </r>
  <r>
    <x v="22"/>
    <s v="Michael"/>
    <s v="Rodriguez"/>
    <s v="IT02"/>
    <d v="2018-01-15T00:00:00"/>
    <x v="21"/>
    <x v="15"/>
    <x v="1"/>
    <s v="Michael Rodriguez"/>
    <x v="0"/>
    <s v="N/A"/>
    <x v="0"/>
    <n v="1879.1200000000001"/>
  </r>
  <r>
    <x v="23"/>
    <s v="Jessica"/>
    <s v="Johnson"/>
    <s v="FIN03"/>
    <d v="2018-01-16T00:00:00"/>
    <x v="22"/>
    <x v="17"/>
    <x v="0"/>
    <s v="Jessica Johnson"/>
    <x v="2"/>
    <n v="8"/>
    <x v="0"/>
    <n v="2017.02"/>
  </r>
  <r>
    <x v="24"/>
    <s v="Ashley"/>
    <s v="Williams"/>
    <s v="SAL05"/>
    <d v="2018-01-17T00:00:00"/>
    <x v="23"/>
    <x v="18"/>
    <x v="0"/>
    <s v="Ashley Williams"/>
    <x v="4"/>
    <n v="8"/>
    <x v="3"/>
    <n v="0"/>
  </r>
  <r>
    <x v="25"/>
    <m/>
    <s v="Williams"/>
    <s v="SAL05"/>
    <d v="2018-01-18T00:00:00"/>
    <x v="24"/>
    <x v="19"/>
    <x v="0"/>
    <s v="Williams"/>
    <x v="4"/>
    <n v="8"/>
    <x v="0"/>
    <n v="1624.1000000000001"/>
  </r>
  <r>
    <x v="26"/>
    <s v="John"/>
    <s v="Wilson"/>
    <s v="SAL05"/>
    <d v="2018-01-19T00:00:00"/>
    <x v="25"/>
    <x v="16"/>
    <x v="0"/>
    <s v="John Wilson"/>
    <x v="4"/>
    <n v="8"/>
    <x v="4"/>
    <n v="6208.8"/>
  </r>
  <r>
    <x v="27"/>
    <s v="Thomas"/>
    <s v="Rodriguez"/>
    <s v="IT02"/>
    <d v="2018-01-20T00:00:00"/>
    <x v="26"/>
    <x v="20"/>
    <x v="0"/>
    <s v="Thomas Rodriguez"/>
    <x v="0"/>
    <n v="8"/>
    <x v="4"/>
    <n v="4069.84"/>
  </r>
  <r>
    <x v="28"/>
    <s v="Michael"/>
    <s v="Wilson"/>
    <s v="FIN03"/>
    <d v="2018-01-21T00:00:00"/>
    <x v="27"/>
    <x v="21"/>
    <x v="0"/>
    <s v="Michael Wilson"/>
    <x v="2"/>
    <n v="8"/>
    <x v="0"/>
    <n v="1706.24"/>
  </r>
  <r>
    <x v="29"/>
    <s v="John"/>
    <s v="Rodriguez"/>
    <s v="SAL05"/>
    <d v="2018-01-22T00:00:00"/>
    <x v="19"/>
    <x v="22"/>
    <x v="0"/>
    <s v="John Rodriguez"/>
    <x v="4"/>
    <n v="8"/>
    <x v="0"/>
    <n v="0"/>
  </r>
  <r>
    <x v="30"/>
    <s v="Thomas"/>
    <s v="Hernandez"/>
    <s v="OPS06"/>
    <d v="2018-01-23T00:00:00"/>
    <x v="28"/>
    <x v="23"/>
    <x v="0"/>
    <s v="Thomas Hernandez"/>
    <x v="3"/>
    <n v="8"/>
    <x v="2"/>
    <n v="4852.75"/>
  </r>
  <r>
    <x v="31"/>
    <s v="Michael"/>
    <s v="Johnson"/>
    <s v="IT02"/>
    <d v="2018-01-24T00:00:00"/>
    <x v="29"/>
    <x v="24"/>
    <x v="0"/>
    <s v="Michael Johnson"/>
    <x v="0"/>
    <n v="8"/>
    <x v="2"/>
    <n v="3303.4500000000003"/>
  </r>
  <r>
    <x v="32"/>
    <s v="Sarah"/>
    <s v="Brown"/>
    <s v="IT02"/>
    <d v="2018-01-25T00:00:00"/>
    <x v="30"/>
    <x v="8"/>
    <x v="0"/>
    <s v="Sarah Brown"/>
    <x v="0"/>
    <n v="8"/>
    <x v="0"/>
    <n v="1803.14"/>
  </r>
  <r>
    <x v="33"/>
    <s v="Jane"/>
    <s v="Martinez"/>
    <s v="HR01"/>
    <d v="2018-01-26T00:00:00"/>
    <x v="31"/>
    <x v="25"/>
    <x v="0"/>
    <s v="Jane Martinez"/>
    <x v="5"/>
    <n v="8"/>
    <x v="2"/>
    <n v="2994.9500000000003"/>
  </r>
  <r>
    <x v="34"/>
    <s v="Emily"/>
    <s v="Jones"/>
    <s v="FIN03"/>
    <d v="2018-01-27T00:00:00"/>
    <x v="32"/>
    <x v="26"/>
    <x v="0"/>
    <s v="Emily Jones"/>
    <x v="2"/>
    <n v="8"/>
    <x v="3"/>
    <n v="0"/>
  </r>
  <r>
    <x v="35"/>
    <m/>
    <s v="Brown"/>
    <s v="IT02"/>
    <d v="2018-01-28T00:00:00"/>
    <x v="33"/>
    <x v="0"/>
    <x v="0"/>
    <s v="Brown"/>
    <x v="0"/>
    <n v="8"/>
    <x v="0"/>
    <n v="2053.8200000000002"/>
  </r>
  <r>
    <x v="36"/>
    <s v="John"/>
    <s v="Wilson"/>
    <s v="OPS06"/>
    <d v="2018-01-29T00:00:00"/>
    <x v="34"/>
    <x v="27"/>
    <x v="0"/>
    <s v="John Wilson"/>
    <x v="3"/>
    <n v="8"/>
    <x v="5"/>
    <n v="13421.4"/>
  </r>
  <r>
    <x v="37"/>
    <s v="Melissa"/>
    <s v="Brown"/>
    <s v="SAL05"/>
    <d v="2018-01-30T00:00:00"/>
    <x v="35"/>
    <x v="13"/>
    <x v="0"/>
    <s v="Melissa Brown"/>
    <x v="4"/>
    <n v="8"/>
    <x v="4"/>
    <n v="5537.52"/>
  </r>
  <r>
    <x v="38"/>
    <s v="Michael"/>
    <s v="Smith"/>
    <s v="FIN03"/>
    <d v="2018-01-31T00:00:00"/>
    <x v="19"/>
    <x v="23"/>
    <x v="1"/>
    <s v="Michael Smith"/>
    <x v="2"/>
    <s v="N/A"/>
    <x v="2"/>
    <n v="0"/>
  </r>
  <r>
    <x v="39"/>
    <s v="Sarah"/>
    <s v="Miller"/>
    <s v="OPS06"/>
    <d v="2018-02-01T00:00:00"/>
    <x v="36"/>
    <x v="1"/>
    <x v="0"/>
    <s v="Sarah Miller"/>
    <x v="3"/>
    <n v="8"/>
    <x v="1"/>
    <n v="0"/>
  </r>
  <r>
    <x v="40"/>
    <s v="Emily"/>
    <s v="Wilson"/>
    <s v="SAL05"/>
    <d v="2018-02-02T00:00:00"/>
    <x v="37"/>
    <x v="28"/>
    <x v="1"/>
    <s v="Emily Wilson"/>
    <x v="4"/>
    <s v="N/A"/>
    <x v="2"/>
    <n v="4312.25"/>
  </r>
  <r>
    <x v="41"/>
    <s v="David"/>
    <s v="Hernandez"/>
    <s v="SAL05"/>
    <d v="2018-02-03T00:00:00"/>
    <x v="38"/>
    <x v="29"/>
    <x v="0"/>
    <s v="David Hernandez"/>
    <x v="4"/>
    <n v="8"/>
    <x v="0"/>
    <n v="1048.1400000000001"/>
  </r>
  <r>
    <x v="42"/>
    <s v="James"/>
    <s v="Smith"/>
    <s v="OPS06"/>
    <d v="2018-02-04T00:00:00"/>
    <x v="39"/>
    <x v="13"/>
    <x v="2"/>
    <s v="James Smith"/>
    <x v="3"/>
    <s v="N/A"/>
    <x v="4"/>
    <n v="5328.4800000000005"/>
  </r>
  <r>
    <x v="43"/>
    <s v="Sarah"/>
    <s v="Williams"/>
    <s v="IT02"/>
    <d v="2018-02-05T00:00:00"/>
    <x v="40"/>
    <x v="7"/>
    <x v="2"/>
    <s v="Sarah Williams"/>
    <x v="0"/>
    <s v="N/A"/>
    <x v="2"/>
    <n v="4094.8"/>
  </r>
  <r>
    <x v="44"/>
    <s v="Amanda"/>
    <s v="Lopez"/>
    <s v="SAL05"/>
    <d v="2018-02-06T00:00:00"/>
    <x v="41"/>
    <x v="2"/>
    <x v="0"/>
    <s v="Amanda Lopez"/>
    <x v="4"/>
    <n v="8"/>
    <x v="0"/>
    <n v="1568.04"/>
  </r>
  <r>
    <x v="45"/>
    <s v="Thomas"/>
    <s v="Lopez"/>
    <s v="OPS06"/>
    <d v="2018-02-07T00:00:00"/>
    <x v="42"/>
    <x v="30"/>
    <x v="0"/>
    <s v="Thomas Lopez"/>
    <x v="3"/>
    <n v="8"/>
    <x v="2"/>
    <n v="5274.9000000000005"/>
  </r>
  <r>
    <x v="46"/>
    <s v="Melissa"/>
    <s v="Johnson"/>
    <s v="MKT04"/>
    <d v="2018-02-08T00:00:00"/>
    <x v="43"/>
    <x v="24"/>
    <x v="1"/>
    <s v="Melissa Johnson"/>
    <x v="1"/>
    <s v="N/A"/>
    <x v="2"/>
    <n v="4587.45"/>
  </r>
  <r>
    <x v="47"/>
    <s v="Amanda"/>
    <s v="Johnson"/>
    <s v="OPS06"/>
    <d v="2018-02-09T00:00:00"/>
    <x v="44"/>
    <x v="31"/>
    <x v="2"/>
    <s v="Amanda Johnson"/>
    <x v="3"/>
    <s v="N/A"/>
    <x v="2"/>
    <n v="4996.75"/>
  </r>
  <r>
    <x v="48"/>
    <s v="John"/>
    <s v="Davis"/>
    <s v="IT02"/>
    <d v="2018-02-10T00:00:00"/>
    <x v="45"/>
    <x v="26"/>
    <x v="1"/>
    <s v="John Davis"/>
    <x v="0"/>
    <s v="N/A"/>
    <x v="3"/>
    <n v="0"/>
  </r>
  <r>
    <x v="49"/>
    <s v="James"/>
    <s v="Johnson"/>
    <s v="MKT04"/>
    <d v="2018-02-11T00:00:00"/>
    <x v="46"/>
    <x v="1"/>
    <x v="0"/>
    <s v="James Johnson"/>
    <x v="1"/>
    <n v="8"/>
    <x v="1"/>
    <n v="0"/>
  </r>
  <r>
    <x v="50"/>
    <s v="Jane"/>
    <s v="Davis"/>
    <s v="HR01"/>
    <d v="2018-02-12T00:00:00"/>
    <x v="47"/>
    <x v="32"/>
    <x v="0"/>
    <s v="Jane Davis"/>
    <x v="5"/>
    <n v="8"/>
    <x v="0"/>
    <n v="1865.8"/>
  </r>
  <r>
    <x v="51"/>
    <s v="Richard"/>
    <s v="Davis"/>
    <s v="OPS06"/>
    <d v="2018-02-13T00:00:00"/>
    <x v="48"/>
    <x v="33"/>
    <x v="2"/>
    <s v="Richard Davis"/>
    <x v="3"/>
    <s v="N/A"/>
    <x v="0"/>
    <n v="2310.54"/>
  </r>
  <r>
    <x v="52"/>
    <s v="Thomas"/>
    <s v="Rodriguez"/>
    <s v="FIN03"/>
    <d v="2018-02-14T00:00:00"/>
    <x v="49"/>
    <x v="31"/>
    <x v="0"/>
    <s v="Thomas Rodriguez"/>
    <x v="2"/>
    <n v="8"/>
    <x v="2"/>
    <n v="2796"/>
  </r>
  <r>
    <x v="53"/>
    <s v="Emily"/>
    <s v="Johnson"/>
    <s v="SAL05"/>
    <d v="2018-02-15T00:00:00"/>
    <x v="50"/>
    <x v="26"/>
    <x v="0"/>
    <s v="Emily Johnson"/>
    <x v="4"/>
    <n v="8"/>
    <x v="3"/>
    <n v="0"/>
  </r>
  <r>
    <x v="54"/>
    <s v="Emily"/>
    <s v="Garcia"/>
    <s v="HR01"/>
    <d v="2018-02-16T00:00:00"/>
    <x v="51"/>
    <x v="34"/>
    <x v="0"/>
    <s v="Emily Garcia"/>
    <x v="5"/>
    <n v="8"/>
    <x v="5"/>
    <n v="14273.64"/>
  </r>
  <r>
    <x v="55"/>
    <s v="Jane"/>
    <s v="Anderson"/>
    <s v="IT02"/>
    <d v="2018-02-17T00:00:00"/>
    <x v="19"/>
    <x v="2"/>
    <x v="0"/>
    <s v="Jane Anderson"/>
    <x v="0"/>
    <n v="8"/>
    <x v="0"/>
    <n v="0"/>
  </r>
  <r>
    <x v="56"/>
    <s v="Thomas"/>
    <s v="Garcia"/>
    <s v="OPS06"/>
    <d v="2018-02-18T00:00:00"/>
    <x v="19"/>
    <x v="14"/>
    <x v="0"/>
    <s v="Thomas Garcia"/>
    <x v="3"/>
    <n v="8"/>
    <x v="2"/>
    <n v="0"/>
  </r>
  <r>
    <x v="57"/>
    <s v="David"/>
    <s v="Martinez"/>
    <s v="HR01"/>
    <d v="2018-02-19T00:00:00"/>
    <x v="52"/>
    <x v="35"/>
    <x v="0"/>
    <s v="David Martinez"/>
    <x v="5"/>
    <n v="8"/>
    <x v="5"/>
    <n v="10998.6"/>
  </r>
  <r>
    <x v="58"/>
    <s v="Emily"/>
    <s v="Brown"/>
    <s v="IT02"/>
    <d v="2018-02-20T00:00:00"/>
    <x v="53"/>
    <x v="1"/>
    <x v="1"/>
    <s v="Emily Brown"/>
    <x v="0"/>
    <s v="N/A"/>
    <x v="1"/>
    <n v="0"/>
  </r>
  <r>
    <x v="59"/>
    <s v="Emily"/>
    <s v="Wilson"/>
    <s v="SAL05"/>
    <d v="2018-02-21T00:00:00"/>
    <x v="54"/>
    <x v="13"/>
    <x v="0"/>
    <s v="Emily Wilson"/>
    <x v="4"/>
    <n v="8"/>
    <x v="4"/>
    <n v="8830.48"/>
  </r>
  <r>
    <x v="60"/>
    <s v="Michael"/>
    <s v="Anderson"/>
    <s v="HR01"/>
    <d v="2018-02-22T00:00:00"/>
    <x v="55"/>
    <x v="36"/>
    <x v="0"/>
    <s v="Michael Anderson"/>
    <x v="5"/>
    <n v="8"/>
    <x v="3"/>
    <n v="0"/>
  </r>
  <r>
    <x v="61"/>
    <s v="Robert"/>
    <s v="Johnson"/>
    <s v="OPS06"/>
    <d v="2018-02-23T00:00:00"/>
    <x v="56"/>
    <x v="37"/>
    <x v="0"/>
    <s v="Robert Johnson"/>
    <x v="3"/>
    <n v="8"/>
    <x v="4"/>
    <n v="5064.16"/>
  </r>
  <r>
    <x v="62"/>
    <s v="Robert"/>
    <s v="Miller"/>
    <s v="IT02"/>
    <d v="2018-02-24T00:00:00"/>
    <x v="57"/>
    <x v="17"/>
    <x v="0"/>
    <s v="Robert Miller"/>
    <x v="0"/>
    <n v="8"/>
    <x v="0"/>
    <n v="1510.38"/>
  </r>
  <r>
    <x v="63"/>
    <s v="Jane"/>
    <s v="Davis"/>
    <s v="FIN03"/>
    <d v="2018-02-25T00:00:00"/>
    <x v="58"/>
    <x v="23"/>
    <x v="0"/>
    <s v="Jane Davis"/>
    <x v="2"/>
    <n v="8"/>
    <x v="2"/>
    <n v="5194.55"/>
  </r>
  <r>
    <x v="64"/>
    <s v="Thomas"/>
    <s v="Davis"/>
    <s v="OPS06"/>
    <d v="2018-02-26T00:00:00"/>
    <x v="19"/>
    <x v="38"/>
    <x v="1"/>
    <s v="Thomas Davis"/>
    <x v="3"/>
    <s v="N/A"/>
    <x v="3"/>
    <n v="0"/>
  </r>
  <r>
    <x v="65"/>
    <s v="Thomas"/>
    <s v="Jones"/>
    <s v="MKT04"/>
    <d v="2018-02-27T00:00:00"/>
    <x v="59"/>
    <x v="39"/>
    <x v="0"/>
    <s v="Thomas Jones"/>
    <x v="1"/>
    <n v="8"/>
    <x v="5"/>
    <n v="6112.32"/>
  </r>
  <r>
    <x v="66"/>
    <s v="Michael"/>
    <s v="Miller"/>
    <s v="SAL05"/>
    <d v="2018-02-28T00:00:00"/>
    <x v="60"/>
    <x v="1"/>
    <x v="0"/>
    <s v="Michael Miller"/>
    <x v="4"/>
    <n v="8"/>
    <x v="1"/>
    <n v="0"/>
  </r>
  <r>
    <x v="67"/>
    <s v="Richard"/>
    <s v="Gonzalez"/>
    <s v="HR01"/>
    <d v="2018-03-01T00:00:00"/>
    <x v="61"/>
    <x v="40"/>
    <x v="2"/>
    <s v="Richard Gonzalez"/>
    <x v="5"/>
    <s v="N/A"/>
    <x v="4"/>
    <n v="4125.3599999999997"/>
  </r>
  <r>
    <x v="68"/>
    <s v="Melissa"/>
    <s v="Williams"/>
    <s v="HR01"/>
    <d v="2018-03-02T00:00:00"/>
    <x v="19"/>
    <x v="41"/>
    <x v="0"/>
    <s v="Melissa Williams"/>
    <x v="5"/>
    <n v="8"/>
    <x v="3"/>
    <n v="0"/>
  </r>
  <r>
    <x v="69"/>
    <s v="Robert"/>
    <s v="Miller"/>
    <s v="HR01"/>
    <d v="2018-03-03T00:00:00"/>
    <x v="62"/>
    <x v="40"/>
    <x v="0"/>
    <s v="Robert Miller"/>
    <x v="5"/>
    <n v="8"/>
    <x v="4"/>
    <n v="4421.6000000000004"/>
  </r>
  <r>
    <x v="70"/>
    <s v="William"/>
    <s v="Garcia"/>
    <s v="SAL05"/>
    <d v="2018-03-04T00:00:00"/>
    <x v="63"/>
    <x v="42"/>
    <x v="0"/>
    <s v="William Garcia"/>
    <x v="4"/>
    <n v="8"/>
    <x v="5"/>
    <n v="7828.2"/>
  </r>
  <r>
    <x v="71"/>
    <s v="John"/>
    <s v="Gonzalez"/>
    <s v="SAL05"/>
    <d v="2018-03-05T00:00:00"/>
    <x v="19"/>
    <x v="24"/>
    <x v="1"/>
    <s v="John Gonzalez"/>
    <x v="4"/>
    <s v="N/A"/>
    <x v="2"/>
    <n v="0"/>
  </r>
  <r>
    <x v="72"/>
    <s v="James"/>
    <s v="Gonzalez"/>
    <s v="SAL05"/>
    <d v="2018-03-06T00:00:00"/>
    <x v="19"/>
    <x v="43"/>
    <x v="1"/>
    <s v="James Gonzalez"/>
    <x v="4"/>
    <s v="N/A"/>
    <x v="0"/>
    <n v="0"/>
  </r>
  <r>
    <x v="73"/>
    <s v="Jane"/>
    <s v="Gonzalez"/>
    <s v="SAL05"/>
    <d v="2018-03-07T00:00:00"/>
    <x v="19"/>
    <x v="44"/>
    <x v="0"/>
    <s v="Jane Gonzalez"/>
    <x v="4"/>
    <n v="8"/>
    <x v="0"/>
    <n v="0"/>
  </r>
  <r>
    <x v="74"/>
    <s v="David"/>
    <s v="Wilson"/>
    <s v="OPS06"/>
    <d v="2018-03-08T00:00:00"/>
    <x v="64"/>
    <x v="45"/>
    <x v="0"/>
    <s v="David Wilson"/>
    <x v="3"/>
    <n v="8"/>
    <x v="3"/>
    <n v="0"/>
  </r>
  <r>
    <x v="75"/>
    <s v="Jane"/>
    <s v="Gonzalez"/>
    <s v="FIN03"/>
    <d v="2018-03-09T00:00:00"/>
    <x v="65"/>
    <x v="25"/>
    <x v="1"/>
    <s v="Jane Gonzalez"/>
    <x v="2"/>
    <s v="N/A"/>
    <x v="2"/>
    <n v="2259.8000000000002"/>
  </r>
  <r>
    <x v="76"/>
    <s v="Jane"/>
    <s v="Rodriguez"/>
    <s v="IT02"/>
    <d v="2018-03-10T00:00:00"/>
    <x v="66"/>
    <x v="46"/>
    <x v="0"/>
    <s v="Jane Rodriguez"/>
    <x v="0"/>
    <n v="8"/>
    <x v="0"/>
    <n v="1724.92"/>
  </r>
  <r>
    <x v="77"/>
    <s v="Emily"/>
    <s v="Miller"/>
    <s v="SAL05"/>
    <d v="2018-03-11T00:00:00"/>
    <x v="67"/>
    <x v="47"/>
    <x v="1"/>
    <s v="Emily Miller"/>
    <x v="4"/>
    <s v="N/A"/>
    <x v="2"/>
    <n v="3517.9500000000003"/>
  </r>
  <r>
    <x v="78"/>
    <s v="Sarah"/>
    <s v="Miller"/>
    <s v="MKT04"/>
    <d v="2018-03-12T00:00:00"/>
    <x v="19"/>
    <x v="48"/>
    <x v="0"/>
    <s v="Sarah Miller"/>
    <x v="1"/>
    <n v="8"/>
    <x v="4"/>
    <n v="0"/>
  </r>
  <r>
    <x v="79"/>
    <s v="Jessica"/>
    <s v="Garcia"/>
    <s v="OPS06"/>
    <d v="2018-03-13T00:00:00"/>
    <x v="68"/>
    <x v="1"/>
    <x v="0"/>
    <s v="Jessica Garcia"/>
    <x v="3"/>
    <n v="8"/>
    <x v="1"/>
    <n v="0"/>
  </r>
  <r>
    <x v="80"/>
    <s v="Richard"/>
    <s v="Smith"/>
    <s v="HR01"/>
    <d v="2018-03-14T00:00:00"/>
    <x v="69"/>
    <x v="14"/>
    <x v="0"/>
    <s v="Richard Smith"/>
    <x v="5"/>
    <n v="8"/>
    <x v="2"/>
    <n v="2384.7000000000003"/>
  </r>
  <r>
    <x v="81"/>
    <s v="Melissa"/>
    <s v="Wilson"/>
    <s v="IT02"/>
    <d v="2018-03-15T00:00:00"/>
    <x v="70"/>
    <x v="49"/>
    <x v="2"/>
    <s v="Melissa Wilson"/>
    <x v="0"/>
    <s v="N/A"/>
    <x v="2"/>
    <n v="4186.2"/>
  </r>
  <r>
    <x v="82"/>
    <s v="Thomas"/>
    <s v="Williams"/>
    <s v="FIN03"/>
    <d v="2018-03-16T00:00:00"/>
    <x v="71"/>
    <x v="46"/>
    <x v="0"/>
    <s v="Thomas Williams"/>
    <x v="2"/>
    <n v="8"/>
    <x v="0"/>
    <n v="1965.98"/>
  </r>
  <r>
    <x v="83"/>
    <s v="David"/>
    <s v="Williams"/>
    <s v="FIN03"/>
    <d v="2018-03-17T00:00:00"/>
    <x v="19"/>
    <x v="22"/>
    <x v="0"/>
    <s v="David Williams"/>
    <x v="2"/>
    <n v="8"/>
    <x v="0"/>
    <n v="0"/>
  </r>
  <r>
    <x v="84"/>
    <s v="John"/>
    <s v="Johnson"/>
    <s v="IT02"/>
    <d v="2018-03-18T00:00:00"/>
    <x v="72"/>
    <x v="3"/>
    <x v="0"/>
    <s v="John Johnson"/>
    <x v="0"/>
    <n v="8"/>
    <x v="2"/>
    <n v="2614.3500000000004"/>
  </r>
  <r>
    <x v="85"/>
    <s v="Richard"/>
    <s v="Gonzalez"/>
    <s v="IT02"/>
    <d v="2018-03-19T00:00:00"/>
    <x v="73"/>
    <x v="27"/>
    <x v="0"/>
    <s v="Richard Gonzalez"/>
    <x v="0"/>
    <n v="8"/>
    <x v="5"/>
    <n v="9915.9599999999991"/>
  </r>
  <r>
    <x v="86"/>
    <s v="Melissa"/>
    <s v="Anderson"/>
    <s v="OPS06"/>
    <d v="2018-03-20T00:00:00"/>
    <x v="74"/>
    <x v="45"/>
    <x v="0"/>
    <s v="Melissa Anderson"/>
    <x v="3"/>
    <n v="8"/>
    <x v="3"/>
    <n v="0"/>
  </r>
  <r>
    <x v="87"/>
    <s v="Emily"/>
    <s v="Gonzalez"/>
    <s v="HR01"/>
    <d v="2018-03-21T00:00:00"/>
    <x v="75"/>
    <x v="13"/>
    <x v="0"/>
    <s v="Emily Gonzalez"/>
    <x v="5"/>
    <n v="8"/>
    <x v="4"/>
    <n v="6898.56"/>
  </r>
  <r>
    <x v="88"/>
    <s v="Jane"/>
    <s v="Davis"/>
    <s v="IT02"/>
    <d v="2018-03-22T00:00:00"/>
    <x v="76"/>
    <x v="10"/>
    <x v="0"/>
    <s v="Jane Davis"/>
    <x v="0"/>
    <n v="8"/>
    <x v="3"/>
    <n v="0"/>
  </r>
  <r>
    <x v="89"/>
    <s v="William"/>
    <s v="Gonzalez"/>
    <s v="OPS06"/>
    <d v="2018-03-23T00:00:00"/>
    <x v="77"/>
    <x v="20"/>
    <x v="0"/>
    <s v="William Gonzalez"/>
    <x v="3"/>
    <n v="8"/>
    <x v="4"/>
    <n v="5494.64"/>
  </r>
  <r>
    <x v="90"/>
    <s v="Thomas"/>
    <s v="Jones"/>
    <s v="FIN03"/>
    <d v="2018-03-24T00:00:00"/>
    <x v="78"/>
    <x v="50"/>
    <x v="1"/>
    <s v="Thomas Jones"/>
    <x v="2"/>
    <s v="N/A"/>
    <x v="0"/>
    <n v="1678.64"/>
  </r>
  <r>
    <x v="91"/>
    <s v="Jessica"/>
    <s v="Anderson"/>
    <s v="HR01"/>
    <d v="2018-03-25T00:00:00"/>
    <x v="79"/>
    <x v="7"/>
    <x v="0"/>
    <s v="Jessica Anderson"/>
    <x v="5"/>
    <n v="8"/>
    <x v="2"/>
    <n v="2803.65"/>
  </r>
  <r>
    <x v="92"/>
    <s v="Melissa"/>
    <s v="Johnson"/>
    <s v="IT02"/>
    <d v="2018-03-26T00:00:00"/>
    <x v="80"/>
    <x v="21"/>
    <x v="0"/>
    <s v="Melissa Johnson"/>
    <x v="0"/>
    <n v="8"/>
    <x v="0"/>
    <n v="1761.1200000000001"/>
  </r>
  <r>
    <x v="93"/>
    <s v="Thomas"/>
    <s v="Miller"/>
    <s v="OPS06"/>
    <d v="2018-03-27T00:00:00"/>
    <x v="81"/>
    <x v="31"/>
    <x v="1"/>
    <s v="Thomas Miller"/>
    <x v="3"/>
    <s v="N/A"/>
    <x v="2"/>
    <n v="3370.7000000000003"/>
  </r>
  <r>
    <x v="94"/>
    <s v="William"/>
    <s v="Gonzalez"/>
    <s v="SAL05"/>
    <d v="2018-03-28T00:00:00"/>
    <x v="82"/>
    <x v="46"/>
    <x v="0"/>
    <s v="William Gonzalez"/>
    <x v="4"/>
    <n v="8"/>
    <x v="0"/>
    <n v="2305.7600000000002"/>
  </r>
  <r>
    <x v="95"/>
    <m/>
    <s v="Smith"/>
    <s v="SAL05"/>
    <d v="2018-03-29T00:00:00"/>
    <x v="83"/>
    <x v="8"/>
    <x v="0"/>
    <s v="Smith"/>
    <x v="4"/>
    <n v="8"/>
    <x v="0"/>
    <n v="1602.8"/>
  </r>
  <r>
    <x v="96"/>
    <s v="John"/>
    <s v="Johnson"/>
    <s v="IT02"/>
    <d v="2018-03-30T00:00:00"/>
    <x v="84"/>
    <x v="51"/>
    <x v="0"/>
    <s v="John Johnson"/>
    <x v="0"/>
    <n v="8"/>
    <x v="0"/>
    <n v="1461.74"/>
  </r>
  <r>
    <x v="97"/>
    <s v="Jane"/>
    <s v="Johnson"/>
    <s v="SAL05"/>
    <d v="2018-03-31T00:00:00"/>
    <x v="85"/>
    <x v="45"/>
    <x v="0"/>
    <s v="Jane Johnson"/>
    <x v="4"/>
    <n v="8"/>
    <x v="3"/>
    <n v="0"/>
  </r>
  <r>
    <x v="98"/>
    <s v="John"/>
    <s v="Jones"/>
    <s v="IT02"/>
    <d v="2018-04-01T00:00:00"/>
    <x v="19"/>
    <x v="36"/>
    <x v="0"/>
    <s v="John Jones"/>
    <x v="0"/>
    <n v="8"/>
    <x v="3"/>
    <n v="0"/>
  </r>
  <r>
    <x v="99"/>
    <s v="Jane"/>
    <s v="Lopez"/>
    <s v="MKT04"/>
    <d v="2018-04-02T00:00:00"/>
    <x v="86"/>
    <x v="31"/>
    <x v="1"/>
    <s v="Jane Lopez"/>
    <x v="1"/>
    <s v="N/A"/>
    <x v="2"/>
    <n v="5087.5"/>
  </r>
  <r>
    <x v="100"/>
    <s v="Melissa"/>
    <s v="Gonzalez"/>
    <s v="MKT04"/>
    <d v="2018-04-03T00:00:00"/>
    <x v="87"/>
    <x v="7"/>
    <x v="0"/>
    <s v="Melissa Gonzalez"/>
    <x v="1"/>
    <n v="8"/>
    <x v="2"/>
    <n v="4149.6000000000004"/>
  </r>
  <r>
    <x v="101"/>
    <s v="William"/>
    <s v="Davis"/>
    <s v="IT02"/>
    <d v="2018-04-04T00:00:00"/>
    <x v="88"/>
    <x v="52"/>
    <x v="0"/>
    <s v="William Davis"/>
    <x v="0"/>
    <n v="8"/>
    <x v="0"/>
    <n v="998.84"/>
  </r>
  <r>
    <x v="102"/>
    <s v="John"/>
    <s v="Smith"/>
    <s v="OPS06"/>
    <d v="2018-04-05T00:00:00"/>
    <x v="89"/>
    <x v="8"/>
    <x v="0"/>
    <s v="John Smith"/>
    <x v="3"/>
    <n v="8"/>
    <x v="0"/>
    <n v="1781.2"/>
  </r>
  <r>
    <x v="103"/>
    <s v="James"/>
    <s v="Gonzalez"/>
    <s v="IT02"/>
    <d v="2018-04-06T00:00:00"/>
    <x v="90"/>
    <x v="27"/>
    <x v="0"/>
    <s v="James Gonzalez"/>
    <x v="0"/>
    <n v="8"/>
    <x v="5"/>
    <n v="6454.32"/>
  </r>
  <r>
    <x v="104"/>
    <s v="Emily"/>
    <s v="Johnson"/>
    <s v="OPS06"/>
    <d v="2018-04-07T00:00:00"/>
    <x v="91"/>
    <x v="1"/>
    <x v="0"/>
    <s v="Emily Johnson"/>
    <x v="3"/>
    <n v="8"/>
    <x v="1"/>
    <n v="0"/>
  </r>
  <r>
    <x v="105"/>
    <s v="William"/>
    <s v="Williams"/>
    <s v="MKT04"/>
    <d v="2018-04-08T00:00:00"/>
    <x v="92"/>
    <x v="4"/>
    <x v="1"/>
    <s v="William Williams"/>
    <x v="1"/>
    <s v="N/A"/>
    <x v="3"/>
    <n v="0"/>
  </r>
  <r>
    <x v="106"/>
    <s v="James"/>
    <s v="Jones"/>
    <s v="IT02"/>
    <d v="2018-04-09T00:00:00"/>
    <x v="93"/>
    <x v="16"/>
    <x v="0"/>
    <s v="James Jones"/>
    <x v="0"/>
    <n v="8"/>
    <x v="4"/>
    <n v="7333.76"/>
  </r>
  <r>
    <x v="107"/>
    <s v="Jessica"/>
    <s v="Gonzalez"/>
    <s v="HR01"/>
    <d v="2018-04-10T00:00:00"/>
    <x v="94"/>
    <x v="11"/>
    <x v="0"/>
    <s v="Jessica Gonzalez"/>
    <x v="5"/>
    <n v="8"/>
    <x v="2"/>
    <n v="3886.8500000000004"/>
  </r>
  <r>
    <x v="108"/>
    <s v="Sarah"/>
    <s v="Miller"/>
    <s v="SAL05"/>
    <d v="2018-04-11T00:00:00"/>
    <x v="95"/>
    <x v="37"/>
    <x v="0"/>
    <s v="Sarah Miller"/>
    <x v="4"/>
    <n v="8"/>
    <x v="4"/>
    <n v="7654.88"/>
  </r>
  <r>
    <x v="109"/>
    <s v="Jessica"/>
    <s v="Smith"/>
    <s v="SAL05"/>
    <d v="2018-04-12T00:00:00"/>
    <x v="96"/>
    <x v="41"/>
    <x v="0"/>
    <s v="Jessica Smith"/>
    <x v="4"/>
    <n v="8"/>
    <x v="3"/>
    <n v="0"/>
  </r>
  <r>
    <x v="110"/>
    <s v="Thomas"/>
    <s v="Jones"/>
    <s v="OPS06"/>
    <d v="2018-04-13T00:00:00"/>
    <x v="97"/>
    <x v="24"/>
    <x v="0"/>
    <s v="Thomas Jones"/>
    <x v="3"/>
    <n v="8"/>
    <x v="2"/>
    <n v="5456.05"/>
  </r>
  <r>
    <x v="111"/>
    <s v="Amanda"/>
    <s v="Brown"/>
    <s v="MKT04"/>
    <d v="2018-04-14T00:00:00"/>
    <x v="98"/>
    <x v="40"/>
    <x v="0"/>
    <s v="Amanda Brown"/>
    <x v="1"/>
    <n v="8"/>
    <x v="4"/>
    <n v="9023.2800000000007"/>
  </r>
  <r>
    <x v="112"/>
    <s v="Robert"/>
    <s v="Martinez"/>
    <s v="IT02"/>
    <d v="2018-04-15T00:00:00"/>
    <x v="99"/>
    <x v="28"/>
    <x v="0"/>
    <s v="Robert Martinez"/>
    <x v="0"/>
    <n v="8"/>
    <x v="2"/>
    <n v="5900.4000000000005"/>
  </r>
  <r>
    <x v="113"/>
    <s v="Thomas"/>
    <s v="Miller"/>
    <s v="IT02"/>
    <d v="2018-04-16T00:00:00"/>
    <x v="100"/>
    <x v="53"/>
    <x v="0"/>
    <s v="Thomas Miller"/>
    <x v="0"/>
    <n v="8"/>
    <x v="2"/>
    <n v="3718.5"/>
  </r>
  <r>
    <x v="114"/>
    <s v="David"/>
    <s v="Rodriguez"/>
    <s v="IT02"/>
    <d v="2018-04-17T00:00:00"/>
    <x v="101"/>
    <x v="7"/>
    <x v="0"/>
    <s v="David Rodriguez"/>
    <x v="0"/>
    <n v="8"/>
    <x v="2"/>
    <n v="3890.9500000000003"/>
  </r>
  <r>
    <x v="115"/>
    <s v="Jane"/>
    <s v="Miller"/>
    <s v="MKT04"/>
    <d v="2018-04-18T00:00:00"/>
    <x v="102"/>
    <x v="54"/>
    <x v="0"/>
    <s v="Jane Miller"/>
    <x v="1"/>
    <n v="8"/>
    <x v="2"/>
    <n v="2437.4"/>
  </r>
  <r>
    <x v="116"/>
    <s v="James"/>
    <s v="Rodriguez"/>
    <s v="OPS06"/>
    <d v="2018-04-19T00:00:00"/>
    <x v="103"/>
    <x v="55"/>
    <x v="2"/>
    <s v="James Rodriguez"/>
    <x v="3"/>
    <s v="N/A"/>
    <x v="3"/>
    <n v="0"/>
  </r>
  <r>
    <x v="117"/>
    <s v="Sarah"/>
    <s v="Rodriguez"/>
    <s v="HR01"/>
    <d v="2018-04-20T00:00:00"/>
    <x v="104"/>
    <x v="11"/>
    <x v="0"/>
    <s v="Sarah Rodriguez"/>
    <x v="5"/>
    <n v="8"/>
    <x v="2"/>
    <n v="5763"/>
  </r>
  <r>
    <x v="118"/>
    <s v="Sarah"/>
    <s v="Wilson"/>
    <s v="SAL05"/>
    <d v="2018-04-21T00:00:00"/>
    <x v="19"/>
    <x v="5"/>
    <x v="0"/>
    <s v="Sarah Wilson"/>
    <x v="4"/>
    <n v="8"/>
    <x v="3"/>
    <n v="0"/>
  </r>
  <r>
    <x v="119"/>
    <s v="Melissa"/>
    <s v="Brown"/>
    <s v="IT02"/>
    <d v="2018-04-22T00:00:00"/>
    <x v="19"/>
    <x v="51"/>
    <x v="1"/>
    <s v="Melissa Brown"/>
    <x v="0"/>
    <s v="N/A"/>
    <x v="0"/>
    <n v="0"/>
  </r>
  <r>
    <x v="120"/>
    <s v="Robert"/>
    <s v="Williams"/>
    <s v="SAL05"/>
    <d v="2018-04-23T00:00:00"/>
    <x v="19"/>
    <x v="30"/>
    <x v="0"/>
    <s v="Robert Williams"/>
    <x v="4"/>
    <n v="8"/>
    <x v="2"/>
    <n v="0"/>
  </r>
  <r>
    <x v="121"/>
    <s v="Melissa"/>
    <s v="Rodriguez"/>
    <s v="OPS06"/>
    <d v="2018-04-24T00:00:00"/>
    <x v="105"/>
    <x v="25"/>
    <x v="0"/>
    <s v="Melissa Rodriguez"/>
    <x v="3"/>
    <n v="8"/>
    <x v="2"/>
    <n v="3031.15"/>
  </r>
  <r>
    <x v="122"/>
    <s v="James"/>
    <s v="Johnson"/>
    <s v="HR01"/>
    <d v="2018-04-25T00:00:00"/>
    <x v="106"/>
    <x v="13"/>
    <x v="0"/>
    <s v="James Johnson"/>
    <x v="5"/>
    <n v="8"/>
    <x v="4"/>
    <n v="5447.36"/>
  </r>
  <r>
    <x v="123"/>
    <s v="Michael"/>
    <s v="Wilson"/>
    <s v="MKT04"/>
    <d v="2018-04-26T00:00:00"/>
    <x v="107"/>
    <x v="22"/>
    <x v="0"/>
    <s v="Michael Wilson"/>
    <x v="1"/>
    <n v="8"/>
    <x v="0"/>
    <n v="1763.1000000000001"/>
  </r>
  <r>
    <x v="124"/>
    <s v="William"/>
    <s v="Jones"/>
    <s v="MKT04"/>
    <d v="2018-04-27T00:00:00"/>
    <x v="108"/>
    <x v="12"/>
    <x v="0"/>
    <s v="William Jones"/>
    <x v="1"/>
    <n v="8"/>
    <x v="3"/>
    <n v="0"/>
  </r>
  <r>
    <x v="125"/>
    <s v="William"/>
    <s v="Williams"/>
    <s v="IT02"/>
    <d v="2018-04-28T00:00:00"/>
    <x v="109"/>
    <x v="45"/>
    <x v="0"/>
    <s v="William Williams"/>
    <x v="0"/>
    <n v="8"/>
    <x v="3"/>
    <n v="0"/>
  </r>
  <r>
    <x v="126"/>
    <s v="David"/>
    <s v="Williams"/>
    <s v="HR01"/>
    <d v="2018-04-29T00:00:00"/>
    <x v="110"/>
    <x v="56"/>
    <x v="0"/>
    <s v="David Williams"/>
    <x v="5"/>
    <n v="8"/>
    <x v="3"/>
    <n v="0"/>
  </r>
  <r>
    <x v="127"/>
    <s v="Jane"/>
    <s v="Davis"/>
    <s v="FIN03"/>
    <d v="2018-04-30T00:00:00"/>
    <x v="111"/>
    <x v="35"/>
    <x v="0"/>
    <s v="Jane Davis"/>
    <x v="2"/>
    <n v="8"/>
    <x v="5"/>
    <n v="5566.8"/>
  </r>
  <r>
    <x v="128"/>
    <s v="John"/>
    <s v="Martinez"/>
    <s v="HR01"/>
    <d v="2018-05-01T00:00:00"/>
    <x v="112"/>
    <x v="20"/>
    <x v="1"/>
    <s v="John Martinez"/>
    <x v="5"/>
    <s v="N/A"/>
    <x v="4"/>
    <n v="8953.6"/>
  </r>
  <r>
    <x v="129"/>
    <s v="David"/>
    <s v="Anderson"/>
    <s v="HR01"/>
    <d v="2018-05-02T00:00:00"/>
    <x v="113"/>
    <x v="12"/>
    <x v="0"/>
    <s v="David Anderson"/>
    <x v="5"/>
    <n v="8"/>
    <x v="3"/>
    <n v="0"/>
  </r>
  <r>
    <x v="130"/>
    <s v="Sarah"/>
    <s v="Smith"/>
    <s v="SAL05"/>
    <d v="2018-05-03T00:00:00"/>
    <x v="114"/>
    <x v="16"/>
    <x v="2"/>
    <s v="Sarah Smith"/>
    <x v="4"/>
    <s v="N/A"/>
    <x v="4"/>
    <n v="8849.44"/>
  </r>
  <r>
    <x v="131"/>
    <s v="Melissa"/>
    <s v="Hernandez"/>
    <s v="OPS06"/>
    <d v="2018-05-04T00:00:00"/>
    <x v="115"/>
    <x v="25"/>
    <x v="1"/>
    <s v="Melissa Hernandez"/>
    <x v="3"/>
    <s v="N/A"/>
    <x v="2"/>
    <n v="5419.75"/>
  </r>
  <r>
    <x v="132"/>
    <s v="Melissa"/>
    <s v="Johnson"/>
    <s v="FIN03"/>
    <d v="2018-05-05T00:00:00"/>
    <x v="116"/>
    <x v="51"/>
    <x v="0"/>
    <s v="Melissa Johnson"/>
    <x v="2"/>
    <n v="8"/>
    <x v="0"/>
    <n v="1760.1000000000001"/>
  </r>
  <r>
    <x v="133"/>
    <s v="Jane"/>
    <s v="Garcia"/>
    <s v="MKT04"/>
    <d v="2018-05-06T00:00:00"/>
    <x v="117"/>
    <x v="53"/>
    <x v="0"/>
    <s v="Jane Garcia"/>
    <x v="1"/>
    <n v="8"/>
    <x v="2"/>
    <n v="4150.3500000000004"/>
  </r>
  <r>
    <x v="134"/>
    <s v="David"/>
    <s v="Davis"/>
    <s v="IT02"/>
    <d v="2018-05-07T00:00:00"/>
    <x v="118"/>
    <x v="22"/>
    <x v="0"/>
    <s v="David Davis"/>
    <x v="0"/>
    <n v="8"/>
    <x v="0"/>
    <n v="1230.94"/>
  </r>
  <r>
    <x v="135"/>
    <s v="James"/>
    <s v="Wilson"/>
    <s v="SAL05"/>
    <d v="2018-05-08T00:00:00"/>
    <x v="19"/>
    <x v="0"/>
    <x v="0"/>
    <s v="James Wilson"/>
    <x v="4"/>
    <n v="8"/>
    <x v="0"/>
    <n v="0"/>
  </r>
  <r>
    <x v="136"/>
    <s v="Richard"/>
    <s v="Johnson"/>
    <s v="OPS06"/>
    <d v="2018-05-09T00:00:00"/>
    <x v="119"/>
    <x v="57"/>
    <x v="1"/>
    <s v="Richard Johnson"/>
    <x v="3"/>
    <s v="N/A"/>
    <x v="4"/>
    <n v="4031.92"/>
  </r>
  <r>
    <x v="137"/>
    <s v="Richard"/>
    <s v="Williams"/>
    <s v="FIN03"/>
    <d v="2018-05-10T00:00:00"/>
    <x v="19"/>
    <x v="9"/>
    <x v="0"/>
    <s v="Richard Williams"/>
    <x v="2"/>
    <n v="8"/>
    <x v="0"/>
    <n v="0"/>
  </r>
  <r>
    <x v="138"/>
    <s v="John"/>
    <s v="Hernandez"/>
    <s v="OPS06"/>
    <d v="2018-05-11T00:00:00"/>
    <x v="120"/>
    <x v="22"/>
    <x v="0"/>
    <s v="John Hernandez"/>
    <x v="3"/>
    <n v="8"/>
    <x v="0"/>
    <n v="1054.4000000000001"/>
  </r>
  <r>
    <x v="139"/>
    <s v="Sarah"/>
    <s v="Gonzalez"/>
    <s v="OPS06"/>
    <d v="2018-05-12T00:00:00"/>
    <x v="121"/>
    <x v="27"/>
    <x v="0"/>
    <s v="Sarah Gonzalez"/>
    <x v="3"/>
    <n v="8"/>
    <x v="5"/>
    <n v="7807.7999999999993"/>
  </r>
  <r>
    <x v="140"/>
    <s v="Melissa"/>
    <s v="Hernandez"/>
    <s v="SAL05"/>
    <d v="2018-05-13T00:00:00"/>
    <x v="19"/>
    <x v="48"/>
    <x v="2"/>
    <s v="Melissa Hernandez"/>
    <x v="4"/>
    <s v="N/A"/>
    <x v="4"/>
    <n v="0"/>
  </r>
  <r>
    <x v="141"/>
    <s v="Melissa"/>
    <s v="Hernandez"/>
    <s v="OPS06"/>
    <d v="2018-05-14T00:00:00"/>
    <x v="122"/>
    <x v="50"/>
    <x v="2"/>
    <s v="Melissa Hernandez"/>
    <x v="3"/>
    <s v="N/A"/>
    <x v="0"/>
    <n v="2162.38"/>
  </r>
  <r>
    <x v="142"/>
    <s v="John"/>
    <s v="Davis"/>
    <s v="IT02"/>
    <d v="2018-05-15T00:00:00"/>
    <x v="19"/>
    <x v="34"/>
    <x v="0"/>
    <s v="John Davis"/>
    <x v="0"/>
    <n v="8"/>
    <x v="5"/>
    <n v="0"/>
  </r>
  <r>
    <x v="143"/>
    <s v="Richard"/>
    <s v="Davis"/>
    <s v="HR01"/>
    <d v="2018-05-16T00:00:00"/>
    <x v="123"/>
    <x v="0"/>
    <x v="1"/>
    <s v="Richard Davis"/>
    <x v="5"/>
    <s v="N/A"/>
    <x v="0"/>
    <n v="2137.92"/>
  </r>
  <r>
    <x v="144"/>
    <m/>
    <s v="Jones"/>
    <s v="IT02"/>
    <d v="2018-05-17T00:00:00"/>
    <x v="124"/>
    <x v="19"/>
    <x v="0"/>
    <s v="Jones"/>
    <x v="0"/>
    <n v="8"/>
    <x v="0"/>
    <n v="2257.7400000000002"/>
  </r>
  <r>
    <x v="145"/>
    <s v="William"/>
    <s v="Rodriguez"/>
    <s v="FIN03"/>
    <d v="2018-05-18T00:00:00"/>
    <x v="125"/>
    <x v="7"/>
    <x v="0"/>
    <s v="William Rodriguez"/>
    <x v="2"/>
    <n v="8"/>
    <x v="2"/>
    <n v="4272.8500000000004"/>
  </r>
  <r>
    <x v="146"/>
    <s v="Melissa"/>
    <s v="Miller"/>
    <s v="SAL05"/>
    <d v="2018-05-19T00:00:00"/>
    <x v="126"/>
    <x v="26"/>
    <x v="0"/>
    <s v="Melissa Miller"/>
    <x v="4"/>
    <n v="8"/>
    <x v="3"/>
    <n v="0"/>
  </r>
  <r>
    <x v="147"/>
    <s v="Emily"/>
    <s v="Martinez"/>
    <s v="OPS06"/>
    <d v="2018-05-20T00:00:00"/>
    <x v="127"/>
    <x v="58"/>
    <x v="1"/>
    <s v="Emily Martinez"/>
    <x v="3"/>
    <s v="N/A"/>
    <x v="2"/>
    <n v="2389.7000000000003"/>
  </r>
  <r>
    <x v="148"/>
    <s v="James"/>
    <s v="Rodriguez"/>
    <s v="MKT04"/>
    <d v="2018-05-21T00:00:00"/>
    <x v="128"/>
    <x v="47"/>
    <x v="0"/>
    <s v="James Rodriguez"/>
    <x v="1"/>
    <n v="8"/>
    <x v="2"/>
    <n v="4654.7"/>
  </r>
  <r>
    <x v="149"/>
    <s v="Amanda"/>
    <s v="Brown"/>
    <s v="IT02"/>
    <d v="2018-05-22T00:00:00"/>
    <x v="129"/>
    <x v="37"/>
    <x v="0"/>
    <s v="Amanda Brown"/>
    <x v="0"/>
    <n v="8"/>
    <x v="4"/>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4614B-8E1C-4BC8-A72B-FEBEE2ECE3C8}"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Department">
  <location ref="A3:C9" firstHeaderRow="0" firstDataRow="1" firstDataCol="1"/>
  <pivotFields count="13">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numFmtId="14" showAll="0"/>
    <pivotField dataField="1"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items count="4">
        <item x="0"/>
        <item x="1"/>
        <item x="2"/>
        <item t="default"/>
      </items>
    </pivotField>
    <pivotField showAll="0"/>
    <pivotField axis="axisRow" showAll="0">
      <items count="7">
        <item x="2"/>
        <item x="5"/>
        <item x="0"/>
        <item x="1"/>
        <item x="3"/>
        <item x="4"/>
        <item t="default"/>
      </items>
    </pivotField>
    <pivotField showAll="0"/>
    <pivotField showAll="0"/>
    <pivotField numFmtId="7" showAll="0"/>
  </pivotFields>
  <rowFields count="1">
    <field x="9"/>
  </rowFields>
  <rowItems count="6">
    <i>
      <x/>
    </i>
    <i>
      <x v="1"/>
    </i>
    <i>
      <x v="2"/>
    </i>
    <i>
      <x v="3"/>
    </i>
    <i>
      <x v="4"/>
    </i>
    <i>
      <x v="5"/>
    </i>
  </rowItems>
  <colFields count="1">
    <field x="-2"/>
  </colFields>
  <colItems count="2">
    <i>
      <x/>
    </i>
    <i i="1">
      <x v="1"/>
    </i>
  </colItems>
  <dataFields count="2">
    <dataField name="Count of Emp ID" fld="0" subtotal="count" baseField="9" baseItem="0"/>
    <dataField name="Average Salary" fld="5" subtotal="average" baseField="9" baseItem="0" numFmtId="165"/>
  </dataFields>
  <formats count="2">
    <format dxfId="3">
      <pivotArea dataOnly="0" outline="0" fieldPosition="0">
        <references count="1">
          <reference field="4294967294" count="1">
            <x v="1"/>
          </reference>
        </references>
      </pivotArea>
    </format>
    <format dxfId="2">
      <pivotArea outline="0" fieldPosition="0">
        <references count="1">
          <reference field="4294967294" count="1">
            <x v="1"/>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97206-4C00-4AB6-88C9-EDAAA0CBACD1}" name="PivotTable1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rformance Band">
  <location ref="E15:F21" firstHeaderRow="1" firstDataRow="1" firstDataCol="1"/>
  <pivotFields count="13">
    <pivotField showAll="0"/>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pivotField showAll="0"/>
    <pivotField showAll="0"/>
    <pivotField showAll="0"/>
    <pivotField axis="axisRow" showAll="0" sortType="descending">
      <items count="7">
        <item x="2"/>
        <item x="0"/>
        <item x="4"/>
        <item x="3"/>
        <item x="1"/>
        <item x="5"/>
        <item t="default"/>
      </items>
      <autoSortScope>
        <pivotArea dataOnly="0" outline="0" fieldPosition="0">
          <references count="1">
            <reference field="4294967294" count="1" selected="0">
              <x v="0"/>
            </reference>
          </references>
        </pivotArea>
      </autoSortScope>
    </pivotField>
    <pivotField dataField="1" numFmtId="7" showAll="0"/>
  </pivotFields>
  <rowFields count="1">
    <field x="11"/>
  </rowFields>
  <rowItems count="6">
    <i>
      <x/>
    </i>
    <i>
      <x v="2"/>
    </i>
    <i>
      <x v="5"/>
    </i>
    <i>
      <x v="1"/>
    </i>
    <i>
      <x v="4"/>
    </i>
    <i>
      <x v="3"/>
    </i>
  </rowItems>
  <colItems count="1">
    <i/>
  </colItems>
  <dataFields count="1">
    <dataField name="Sum of Eligible Bonus Amount" fld="12" baseField="0" baseItem="0" numFmtId="5"/>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470F90-8E52-47FB-B084-527D39BED252}"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rformance Band">
  <location ref="O3:P9" firstHeaderRow="1" firstDataRow="1" firstDataCol="1"/>
  <pivotFields count="13">
    <pivotField showAll="0"/>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pivotField showAll="0"/>
    <pivotField showAll="0"/>
    <pivotField showAll="0"/>
    <pivotField axis="axisRow" showAll="0" sortType="descending">
      <items count="7">
        <item x="2"/>
        <item x="0"/>
        <item x="4"/>
        <item x="3"/>
        <item x="1"/>
        <item x="5"/>
        <item t="default"/>
      </items>
      <autoSortScope>
        <pivotArea dataOnly="0" outline="0" fieldPosition="0">
          <references count="1">
            <reference field="4294967294" count="1" selected="0">
              <x v="0"/>
            </reference>
          </references>
        </pivotArea>
      </autoSortScope>
    </pivotField>
    <pivotField dataField="1" numFmtId="7" showAll="0"/>
  </pivotFields>
  <rowFields count="1">
    <field x="11"/>
  </rowFields>
  <rowItems count="6">
    <i>
      <x/>
    </i>
    <i>
      <x v="2"/>
    </i>
    <i>
      <x v="5"/>
    </i>
    <i>
      <x v="1"/>
    </i>
    <i>
      <x v="4"/>
    </i>
    <i>
      <x v="3"/>
    </i>
  </rowItems>
  <colItems count="1">
    <i/>
  </colItems>
  <dataFields count="1">
    <dataField name="Sum of Eligible Bonus Amount" fld="12" baseField="0" baseItem="0" numFmtId="5"/>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7A3E7B-7C6B-4E78-80B9-9F1E43D6F61F}"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Employee Status">
  <location ref="A15:B18" firstHeaderRow="1" firstDataRow="1" firstDataCol="1"/>
  <pivotFields count="13">
    <pivotField showAll="0"/>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dataField="1"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axis="axisRow" showAll="0">
      <items count="4">
        <item x="0"/>
        <item x="1"/>
        <item x="2"/>
        <item t="default"/>
      </items>
    </pivotField>
    <pivotField showAll="0"/>
    <pivotField showAll="0"/>
    <pivotField showAll="0"/>
    <pivotField showAll="0"/>
    <pivotField numFmtId="7" showAll="0"/>
  </pivotFields>
  <rowFields count="1">
    <field x="7"/>
  </rowFields>
  <rowItems count="3">
    <i>
      <x/>
    </i>
    <i>
      <x v="1"/>
    </i>
    <i>
      <x v="2"/>
    </i>
  </rowItems>
  <colItems count="1">
    <i/>
  </colItems>
  <dataFields count="1">
    <dataField name="Average of Perf_Score" fld="6" subtotal="average" baseField="7" baseItem="0"/>
  </dataFields>
  <formats count="3">
    <format dxfId="6">
      <pivotArea collapsedLevelsAreSubtotals="1" fieldPosition="0">
        <references count="1">
          <reference field="7" count="1">
            <x v="0"/>
          </reference>
        </references>
      </pivotArea>
    </format>
    <format dxfId="5">
      <pivotArea collapsedLevelsAreSubtotals="1" fieldPosition="0">
        <references count="1">
          <reference field="7" count="1">
            <x v="1"/>
          </reference>
        </references>
      </pivotArea>
    </format>
    <format dxfId="4">
      <pivotArea collapsedLevelsAreSubtotals="1" fieldPosition="0">
        <references count="1">
          <reference field="7" count="1">
            <x v="2"/>
          </reference>
        </references>
      </pivotArea>
    </format>
  </formats>
  <chartFormats count="1">
    <chartFormat chart="14" format="3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C610F7-49E1-4183-9BE7-2D1E6591AEB9}"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0" rowHeaderCaption="Department">
  <location ref="E3:H10" firstHeaderRow="1" firstDataRow="2" firstDataCol="1"/>
  <pivotFields count="13">
    <pivotField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axis="axisCol" dataField="1" showAll="0">
      <items count="4">
        <item x="0"/>
        <item x="1"/>
        <item x="2"/>
        <item t="default"/>
      </items>
    </pivotField>
    <pivotField showAll="0"/>
    <pivotField axis="axisRow" showAll="0">
      <items count="7">
        <item x="2"/>
        <item x="5"/>
        <item x="0"/>
        <item x="1"/>
        <item x="3"/>
        <item x="4"/>
        <item t="default"/>
      </items>
    </pivotField>
    <pivotField showAll="0"/>
    <pivotField showAll="0"/>
    <pivotField numFmtId="7" showAll="0"/>
  </pivotFields>
  <rowFields count="1">
    <field x="9"/>
  </rowFields>
  <rowItems count="6">
    <i>
      <x/>
    </i>
    <i>
      <x v="1"/>
    </i>
    <i>
      <x v="2"/>
    </i>
    <i>
      <x v="3"/>
    </i>
    <i>
      <x v="4"/>
    </i>
    <i>
      <x v="5"/>
    </i>
  </rowItems>
  <colFields count="1">
    <field x="7"/>
  </colFields>
  <colItems count="3">
    <i>
      <x/>
    </i>
    <i>
      <x v="1"/>
    </i>
    <i>
      <x v="2"/>
    </i>
  </colItems>
  <dataFields count="1">
    <dataField name="Department" fld="7" subtotal="count" showDataAs="percentOfCol" baseField="0" baseItem="0" numFmtId="10"/>
  </dataFields>
  <chartFormats count="7">
    <chartFormat chart="18" format="30" series="1">
      <pivotArea type="data" outline="0" fieldPosition="0">
        <references count="1">
          <reference field="4294967294" count="1" selected="0">
            <x v="0"/>
          </reference>
        </references>
      </pivotArea>
    </chartFormat>
    <chartFormat chart="18" format="31" series="1">
      <pivotArea type="data" outline="0" fieldPosition="0">
        <references count="2">
          <reference field="4294967294" count="1" selected="0">
            <x v="0"/>
          </reference>
          <reference field="7" count="1" selected="0">
            <x v="1"/>
          </reference>
        </references>
      </pivotArea>
    </chartFormat>
    <chartFormat chart="18" format="32" series="1">
      <pivotArea type="data" outline="0" fieldPosition="0">
        <references count="2">
          <reference field="4294967294" count="1" selected="0">
            <x v="0"/>
          </reference>
          <reference field="7" count="1" selected="0">
            <x v="2"/>
          </reference>
        </references>
      </pivotArea>
    </chartFormat>
    <chartFormat chart="18" format="33" series="1">
      <pivotArea type="data" outline="0" fieldPosition="0">
        <references count="2">
          <reference field="4294967294" count="1" selected="0">
            <x v="0"/>
          </reference>
          <reference field="7" count="1" selected="0">
            <x v="0"/>
          </reference>
        </references>
      </pivotArea>
    </chartFormat>
    <chartFormat chart="27" format="37" series="1">
      <pivotArea type="data" outline="0" fieldPosition="0">
        <references count="2">
          <reference field="4294967294" count="1" selected="0">
            <x v="0"/>
          </reference>
          <reference field="7" count="1" selected="0">
            <x v="0"/>
          </reference>
        </references>
      </pivotArea>
    </chartFormat>
    <chartFormat chart="27" format="38" series="1">
      <pivotArea type="data" outline="0" fieldPosition="0">
        <references count="2">
          <reference field="4294967294" count="1" selected="0">
            <x v="0"/>
          </reference>
          <reference field="7" count="1" selected="0">
            <x v="1"/>
          </reference>
        </references>
      </pivotArea>
    </chartFormat>
    <chartFormat chart="27" format="39" series="1">
      <pivotArea type="data" outline="0" fieldPosition="0">
        <references count="2">
          <reference field="4294967294" count="1" selected="0">
            <x v="0"/>
          </reference>
          <reference field="7"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91BB78-76A1-4038-B7CB-C1A36E3860E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dataField="1" showAll="0"/>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pivotField showAll="0"/>
    <pivotField showAll="0"/>
    <pivotField showAll="0"/>
    <pivotField showAll="0"/>
    <pivotField numFmtId="7" showAll="0"/>
  </pivotFields>
  <rowItems count="1">
    <i/>
  </rowItems>
  <colItems count="1">
    <i/>
  </colItems>
  <dataFields count="1">
    <dataField name="Total Employee"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E07A2E-28B8-4E43-B899-006002A4FC4C}" name="PivotTable10"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E2:G5" firstHeaderRow="0" firstDataRow="1" firstDataCol="1"/>
  <pivotFields count="13">
    <pivotField dataField="1" showAll="0"/>
    <pivotField showAll="0"/>
    <pivotField showAll="0"/>
    <pivotField showAll="0"/>
    <pivotField numFmtId="14" showAll="0"/>
    <pivotField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axis="axisRow" showAll="0">
      <items count="4">
        <item x="0"/>
        <item x="1"/>
        <item x="2"/>
        <item t="default"/>
      </items>
    </pivotField>
    <pivotField showAll="0"/>
    <pivotField showAll="0"/>
    <pivotField showAll="0"/>
    <pivotField showAll="0"/>
    <pivotField numFmtId="7" showAll="0"/>
  </pivotFields>
  <rowFields count="1">
    <field x="7"/>
  </rowFields>
  <rowItems count="3">
    <i>
      <x/>
    </i>
    <i>
      <x v="1"/>
    </i>
    <i>
      <x v="2"/>
    </i>
  </rowItems>
  <colFields count="1">
    <field x="-2"/>
  </colFields>
  <colItems count="2">
    <i>
      <x/>
    </i>
    <i i="1">
      <x v="1"/>
    </i>
  </colItems>
  <dataFields count="2">
    <dataField name="No of Employees" fld="0" subtotal="count" baseField="7" baseItem="0"/>
    <dataField name="Attrition rate" fld="0" subtotal="count" baseField="0" baseItem="0" numFmtId="10">
      <extLst>
        <ext xmlns:x14="http://schemas.microsoft.com/office/spreadsheetml/2009/9/main" uri="{E15A36E0-9728-4e99-A89B-3F7291B0FE68}">
          <x14:dataField pivotShowAs="percentOfParentRow"/>
        </ext>
      </extLst>
    </dataField>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144CC1-0376-425C-A4A7-4034429ED7A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pivotField showAll="0"/>
    <pivotField showAll="0"/>
    <pivotField numFmtId="14" showAll="0"/>
    <pivotField dataField="1"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pivotField showAll="0"/>
    <pivotField showAll="0"/>
    <pivotField showAll="0"/>
    <pivotField showAll="0"/>
    <pivotField numFmtId="7" showAll="0"/>
  </pivotFields>
  <rowItems count="1">
    <i/>
  </rowItems>
  <colItems count="1">
    <i/>
  </colItems>
  <dataFields count="1">
    <dataField name="Average Salary" fld="5" subtotal="average" baseField="0" baseItem="0" numFmtId="165"/>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9CB455F2-D852-4F39-8744-B348332B2F34}" sourceName="Emp ID">
  <pivotTables>
    <pivotTable tabId="4" name="PivotTable1"/>
  </pivotTables>
  <data>
    <tabular pivotCacheId="1781915343">
      <items count="150">
        <i x="66" s="1"/>
        <i x="136" s="1"/>
        <i x="121" s="1"/>
        <i x="113" s="1"/>
        <i x="56" s="1"/>
        <i x="91" s="1"/>
        <i x="118" s="1"/>
        <i x="100" s="1"/>
        <i x="109" s="1"/>
        <i x="22" s="1"/>
        <i x="63" s="1"/>
        <i x="48" s="1"/>
        <i x="21" s="1"/>
        <i x="110" s="1"/>
        <i x="29" s="1"/>
        <i x="12" s="1"/>
        <i x="61" s="1"/>
        <i x="114" s="1"/>
        <i x="20" s="1"/>
        <i x="10" s="1"/>
        <i x="145" s="1"/>
        <i x="131" s="1"/>
        <i x="45" s="1"/>
        <i x="74" s="1"/>
        <i x="14" s="1"/>
        <i x="73" s="1"/>
        <i x="39" s="1"/>
        <i x="52" s="1"/>
        <i x="71" s="1"/>
        <i x="5" s="1"/>
        <i x="15" s="1"/>
        <i x="23" s="1"/>
        <i x="57" s="1"/>
        <i x="84" s="1"/>
        <i x="98" s="1"/>
        <i x="95" s="1"/>
        <i x="43" s="1"/>
        <i x="134" s="1"/>
        <i x="115" s="1"/>
        <i x="76" s="1"/>
        <i x="72" s="1"/>
        <i x="55" s="1"/>
        <i x="36" s="1"/>
        <i x="101" s="1"/>
        <i x="69" s="1"/>
        <i x="1" s="1"/>
        <i x="99" s="1"/>
        <i x="80" s="1"/>
        <i x="129" s="1"/>
        <i x="94" s="1"/>
        <i x="127" s="1"/>
        <i x="25" s="1"/>
        <i x="137" s="1"/>
        <i x="90" s="1"/>
        <i x="125" s="1"/>
        <i x="32" s="1"/>
        <i x="11" s="1"/>
        <i x="132" s="1"/>
        <i x="128" s="1"/>
        <i x="111" s="1"/>
        <i x="58" s="1"/>
        <i x="82" s="1"/>
        <i x="87" s="1"/>
        <i x="123" s="1"/>
        <i x="68" s="1"/>
        <i x="18" s="1"/>
        <i x="60" s="1"/>
        <i x="37" s="1"/>
        <i x="50" s="1"/>
        <i x="13" s="1"/>
        <i x="102" s="1"/>
        <i x="146" s="1"/>
        <i x="116" s="1"/>
        <i x="83" s="1"/>
        <i x="143" s="1"/>
        <i x="30" s="1"/>
        <i x="44" s="1"/>
        <i x="97" s="1"/>
        <i x="41" s="1"/>
        <i x="49" s="1"/>
        <i x="96" s="1"/>
        <i x="24" s="1"/>
        <i x="70" s="1"/>
        <i x="105" s="1"/>
        <i x="34" s="1"/>
        <i x="77" s="1"/>
        <i x="53" s="1"/>
        <i x="142" s="1"/>
        <i x="130" s="1"/>
        <i x="108" s="1"/>
        <i x="64" s="1"/>
        <i x="104" s="1"/>
        <i x="148" s="1"/>
        <i x="88" s="1"/>
        <i x="8" s="1"/>
        <i x="6" s="1"/>
        <i x="89" s="1"/>
        <i x="7" s="1"/>
        <i x="28" s="1"/>
        <i x="140" s="1"/>
        <i x="120" s="1"/>
        <i x="59" s="1"/>
        <i x="149" s="1"/>
        <i x="139" s="1"/>
        <i x="85" s="1"/>
        <i x="35" s="1"/>
        <i x="147" s="1"/>
        <i x="126" s="1"/>
        <i x="17" s="1"/>
        <i x="92" s="1"/>
        <i x="75" s="1"/>
        <i x="4" s="1"/>
        <i x="67" s="1"/>
        <i x="81" s="1"/>
        <i x="103" s="1"/>
        <i x="124" s="1"/>
        <i x="141" s="1"/>
        <i x="86" s="1"/>
        <i x="54" s="1"/>
        <i x="19" s="1"/>
        <i x="122" s="1"/>
        <i x="144" s="1"/>
        <i x="62" s="1"/>
        <i x="78" s="1"/>
        <i x="33" s="1"/>
        <i x="16" s="1"/>
        <i x="0" s="1"/>
        <i x="38" s="1"/>
        <i x="26" s="1"/>
        <i x="133" s="1"/>
        <i x="138" s="1"/>
        <i x="79" s="1"/>
        <i x="46" s="1"/>
        <i x="2" s="1"/>
        <i x="112" s="1"/>
        <i x="40" s="1"/>
        <i x="31" s="1"/>
        <i x="117" s="1"/>
        <i x="3" s="1"/>
        <i x="9" s="1"/>
        <i x="47" s="1"/>
        <i x="106" s="1"/>
        <i x="107" s="1"/>
        <i x="119" s="1"/>
        <i x="65" s="1"/>
        <i x="27" s="1"/>
        <i x="93" s="1"/>
        <i x="135" s="1"/>
        <i x="42"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B99F113-3372-4E59-89CE-2C79CADA772E}" sourceName="Department Name">
  <pivotTables>
    <pivotTable tabId="4" name="PivotTable1"/>
  </pivotTables>
  <data>
    <tabular pivotCacheId="1781915343">
      <items count="6">
        <i x="2" s="1"/>
        <i x="5"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atus" xr10:uid="{D815C9A8-1753-45CD-9C24-C51817ACD1A5}" sourceName="Employment satus ">
  <pivotTables>
    <pivotTable tabId="4" name="PivotTable1"/>
  </pivotTables>
  <data>
    <tabular pivotCacheId="17819153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 ID" xr10:uid="{B17CA2DD-6C10-459F-BC1A-9155A6EDC6E9}" cache="Slicer_Emp_ID" caption="Emp ID" startItem="53" style="SlicerStyleDark3" rowHeight="241300"/>
  <slicer name="Department Name" xr10:uid="{ACCFEDFF-FCBA-4696-8EE6-1D957A46D678}" cache="Slicer_Department_Name" caption="Department Name" style="SlicerStyleDark3" rowHeight="241300"/>
  <slicer name="Employment satus " xr10:uid="{3E9F793F-BF7A-4391-A156-33D9189542B3}" cache="Slicer_Employment_satus" caption="Employment satus "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7F7BF-13DC-4CB2-B224-32D8F302D62F}" name="Table1" displayName="Table1" ref="A1:M151" totalsRowShown="0" headerRowDxfId="10">
  <autoFilter ref="A1:M151" xr:uid="{1977F7BF-13DC-4CB2-B224-32D8F302D62F}"/>
  <tableColumns count="13">
    <tableColumn id="1" xr3:uid="{C54C4D97-8138-4313-B670-C7A2322101CB}" name="Emp ID"/>
    <tableColumn id="2" xr3:uid="{CCA432A6-8496-4B0B-8354-462AA2884857}" name="First_Name"/>
    <tableColumn id="3" xr3:uid="{C5B9F416-6CAF-4EBC-8B61-2121486BAB87}" name="Last_Name"/>
    <tableColumn id="4" xr3:uid="{4B1E9095-942B-4D43-9800-0A474CF49C5E}" name="Dept code "/>
    <tableColumn id="5" xr3:uid="{2835E4EB-48DC-4742-8A9C-D90001A061CD}" name="Hire Date" dataDxfId="9"/>
    <tableColumn id="6" xr3:uid="{C87CDDC9-7919-45A2-A24E-8C949339C00B}" name="Salary" dataDxfId="8"/>
    <tableColumn id="7" xr3:uid="{44AE3500-0676-4EFF-9993-D1CC6AFC5ADF}" name="Perf_Score"/>
    <tableColumn id="8" xr3:uid="{7D0ED023-0354-4600-B61F-60C027B981D0}" name="Employment satus "/>
    <tableColumn id="9" xr3:uid="{2A55A905-FDAD-49F0-AFFA-C27B4073D1DE}" name="Full Name">
      <calculatedColumnFormula>TRIM(B2&amp;" "&amp;C2)</calculatedColumnFormula>
    </tableColumn>
    <tableColumn id="10" xr3:uid="{4345B3CB-0376-4329-8EB2-99D940ABE98E}" name="Department Name">
      <calculatedColumnFormula>VLOOKUP(D2,Lookup_Departments!$A$2:$B$7,2,FALSE)</calculatedColumnFormula>
    </tableColumn>
    <tableColumn id="11" xr3:uid="{8810D73C-C710-494A-B303-678BBA31306D}" name="Years of Service">
      <calculatedColumnFormula>IF(H2="Active",DATEDIF(E2,TODAY(),"y"),"N/A")</calculatedColumnFormula>
    </tableColumn>
    <tableColumn id="12" xr3:uid="{6EF7E92F-9D33-474D-95B2-74362C88EFE3}" name="Performance Band">
      <calculatedColumnFormula>IF(G2="","No Score",VLOOKUP(G2,Lookup_Performance!$A$2:$D$6,3,TRUE))</calculatedColumnFormula>
    </tableColumn>
    <tableColumn id="13" xr3:uid="{6818FF63-EC90-45E5-A375-6814DAD118E4}" name="Eligible Bonus Amount" dataDxfId="7">
      <calculatedColumnFormula>IF(G2="",0,F2*VLOOKUP(G2,Lookup_Performance!$A$2:$D$6,4,TRUE))</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workbookViewId="0"/>
  </sheetViews>
  <sheetFormatPr defaultRowHeight="14.5" x14ac:dyDescent="0.35"/>
  <cols>
    <col min="1" max="1" width="8.81640625" customWidth="1"/>
    <col min="2" max="2" width="12.36328125" customWidth="1"/>
    <col min="3" max="3" width="12.08984375" customWidth="1"/>
    <col min="4" max="4" width="11.81640625" customWidth="1"/>
    <col min="5" max="5" width="29.1796875" customWidth="1"/>
    <col min="6" max="6" width="17.08984375" style="8" customWidth="1"/>
    <col min="7" max="7" width="11.81640625" customWidth="1"/>
    <col min="8" max="8" width="18.81640625" customWidth="1"/>
    <col min="9" max="9" width="17.08984375" customWidth="1"/>
    <col min="10" max="10" width="20.6328125" customWidth="1"/>
    <col min="11" max="11" width="17.08984375" customWidth="1"/>
    <col min="12" max="12" width="20.81640625" customWidth="1"/>
    <col min="13" max="13" width="21.54296875" style="6" customWidth="1"/>
    <col min="14" max="16" width="17.08984375" customWidth="1"/>
  </cols>
  <sheetData>
    <row r="1" spans="1:16" x14ac:dyDescent="0.35">
      <c r="A1" s="1" t="s">
        <v>0</v>
      </c>
      <c r="B1" s="1" t="s">
        <v>1</v>
      </c>
      <c r="C1" s="1" t="s">
        <v>2</v>
      </c>
      <c r="D1" s="1" t="s">
        <v>213</v>
      </c>
      <c r="E1" s="1" t="s">
        <v>3</v>
      </c>
      <c r="F1" s="7" t="s">
        <v>4</v>
      </c>
      <c r="G1" s="1" t="s">
        <v>5</v>
      </c>
      <c r="H1" s="1" t="s">
        <v>212</v>
      </c>
      <c r="I1" s="4" t="s">
        <v>214</v>
      </c>
      <c r="J1" s="4" t="s">
        <v>215</v>
      </c>
      <c r="K1" s="4" t="s">
        <v>216</v>
      </c>
      <c r="L1" s="4" t="s">
        <v>217</v>
      </c>
      <c r="M1" s="5" t="s">
        <v>218</v>
      </c>
      <c r="P1" s="2"/>
    </row>
    <row r="2" spans="1:16" x14ac:dyDescent="0.35">
      <c r="A2" t="s">
        <v>6</v>
      </c>
      <c r="B2" t="s">
        <v>7</v>
      </c>
      <c r="C2" t="s">
        <v>8</v>
      </c>
      <c r="D2" t="s">
        <v>9</v>
      </c>
      <c r="E2" s="3">
        <v>43093</v>
      </c>
      <c r="F2" s="8">
        <v>50361</v>
      </c>
      <c r="G2">
        <v>52</v>
      </c>
      <c r="H2" t="s">
        <v>36</v>
      </c>
      <c r="I2" t="str">
        <f>TRIM(B2&amp;" "&amp;C2)</f>
        <v>Emily Brown</v>
      </c>
      <c r="J2" t="str">
        <f>VLOOKUP(D2,Lookup_Departments!$A$2:$B$7,2,FALSE)</f>
        <v>Information Technology</v>
      </c>
      <c r="K2">
        <f ca="1">IF(H2="Active",DATEDIF(E2,TODAY(),"y"),"N/A")</f>
        <v>8</v>
      </c>
      <c r="L2" t="str">
        <f>IF(G2="","No Score",VLOOKUP(G2,Lookup_Performance!$A$2:$D$6,3,TRUE))</f>
        <v>Developing</v>
      </c>
      <c r="M2" s="6">
        <f>IF(G2="",0,F2*VLOOKUP(G2,Lookup_Performance!$A$2:$D$6,4,TRUE))</f>
        <v>1007.22</v>
      </c>
    </row>
    <row r="3" spans="1:16" x14ac:dyDescent="0.35">
      <c r="A3" t="s">
        <v>10</v>
      </c>
      <c r="B3" t="s">
        <v>11</v>
      </c>
      <c r="C3" t="s">
        <v>12</v>
      </c>
      <c r="D3" t="s">
        <v>13</v>
      </c>
      <c r="E3" s="3">
        <v>43094</v>
      </c>
      <c r="F3" s="8">
        <v>112673</v>
      </c>
      <c r="H3" t="s">
        <v>36</v>
      </c>
      <c r="I3" t="str">
        <f t="shared" ref="I3:I66" si="0">TRIM(B3&amp;" "&amp;C3)</f>
        <v>Richard Hernandez</v>
      </c>
      <c r="J3" t="str">
        <f>VLOOKUP(D3,Lookup_Departments!$A$2:$B$7,2,FALSE)</f>
        <v>Marketing</v>
      </c>
      <c r="K3">
        <f t="shared" ref="K3:K66" ca="1" si="1">IF(H3="Active",DATEDIF(E3,TODAY(),"y"),"N/A")</f>
        <v>8</v>
      </c>
      <c r="L3" t="str">
        <f>IF(G3="","No Score",VLOOKUP(G3,Lookup_Performance!$A$2:$D$6,3,TRUE))</f>
        <v>No Score</v>
      </c>
      <c r="M3" s="6">
        <f>IF(G3="",0,F3*VLOOKUP(G3,Lookup_Performance!$A$2:$D$6,4,TRUE))</f>
        <v>0</v>
      </c>
    </row>
    <row r="4" spans="1:16" x14ac:dyDescent="0.35">
      <c r="A4" t="s">
        <v>14</v>
      </c>
      <c r="B4" t="s">
        <v>7</v>
      </c>
      <c r="C4" t="s">
        <v>15</v>
      </c>
      <c r="D4" t="s">
        <v>9</v>
      </c>
      <c r="E4" s="3">
        <v>43095</v>
      </c>
      <c r="F4" s="8">
        <v>114425</v>
      </c>
      <c r="G4">
        <v>54</v>
      </c>
      <c r="H4" t="s">
        <v>23</v>
      </c>
      <c r="I4" t="str">
        <f t="shared" si="0"/>
        <v>Emily Gonzalez</v>
      </c>
      <c r="J4" t="str">
        <f>VLOOKUP(D4,Lookup_Departments!$A$2:$B$7,2,FALSE)</f>
        <v>Information Technology</v>
      </c>
      <c r="K4" t="str">
        <f t="shared" ca="1" si="1"/>
        <v>N/A</v>
      </c>
      <c r="L4" t="str">
        <f>IF(G4="","No Score",VLOOKUP(G4,Lookup_Performance!$A$2:$D$6,3,TRUE))</f>
        <v>Developing</v>
      </c>
      <c r="M4" s="6">
        <f>IF(G4="",0,F4*VLOOKUP(G4,Lookup_Performance!$A$2:$D$6,4,TRUE))</f>
        <v>2288.5</v>
      </c>
    </row>
    <row r="5" spans="1:16" x14ac:dyDescent="0.35">
      <c r="A5" t="s">
        <v>16</v>
      </c>
      <c r="B5" t="s">
        <v>17</v>
      </c>
      <c r="C5" t="s">
        <v>18</v>
      </c>
      <c r="D5" t="s">
        <v>19</v>
      </c>
      <c r="E5" s="3">
        <v>43096</v>
      </c>
      <c r="F5" s="8">
        <v>103831</v>
      </c>
      <c r="G5">
        <v>70</v>
      </c>
      <c r="H5" t="s">
        <v>36</v>
      </c>
      <c r="I5" t="str">
        <f t="shared" si="0"/>
        <v>John Martinez</v>
      </c>
      <c r="J5" t="str">
        <f>VLOOKUP(D5,Lookup_Departments!$A$2:$B$7,2,FALSE)</f>
        <v>Finance</v>
      </c>
      <c r="K5">
        <f t="shared" ca="1" si="1"/>
        <v>8</v>
      </c>
      <c r="L5" t="str">
        <f>IF(G5="","No Score",VLOOKUP(G5,Lookup_Performance!$A$2:$D$6,3,TRUE))</f>
        <v>Achieving</v>
      </c>
      <c r="M5" s="6">
        <f>IF(G5="",0,F5*VLOOKUP(G5,Lookup_Performance!$A$2:$D$6,4,TRUE))</f>
        <v>5191.55</v>
      </c>
    </row>
    <row r="6" spans="1:16" x14ac:dyDescent="0.35">
      <c r="A6" t="s">
        <v>20</v>
      </c>
      <c r="B6" t="s">
        <v>21</v>
      </c>
      <c r="C6" t="s">
        <v>22</v>
      </c>
      <c r="D6" t="s">
        <v>9</v>
      </c>
      <c r="E6" s="3">
        <v>43097</v>
      </c>
      <c r="F6" s="8">
        <v>73785</v>
      </c>
      <c r="G6">
        <v>40</v>
      </c>
      <c r="H6" t="s">
        <v>23</v>
      </c>
      <c r="I6" t="str">
        <f t="shared" si="0"/>
        <v>Thomas Smith</v>
      </c>
      <c r="J6" t="str">
        <f>VLOOKUP(D6,Lookup_Departments!$A$2:$B$7,2,FALSE)</f>
        <v>Information Technology</v>
      </c>
      <c r="K6" t="str">
        <f t="shared" ca="1" si="1"/>
        <v>N/A</v>
      </c>
      <c r="L6" t="str">
        <f>IF(G6="","No Score",VLOOKUP(G6,Lookup_Performance!$A$2:$D$6,3,TRUE))</f>
        <v>Needs Improvement</v>
      </c>
      <c r="M6" s="6">
        <f>IF(G6="",0,F6*VLOOKUP(G6,Lookup_Performance!$A$2:$D$6,4,TRUE))</f>
        <v>0</v>
      </c>
    </row>
    <row r="7" spans="1:16" x14ac:dyDescent="0.35">
      <c r="A7" t="s">
        <v>24</v>
      </c>
      <c r="B7" t="s">
        <v>7</v>
      </c>
      <c r="C7" t="s">
        <v>25</v>
      </c>
      <c r="D7" t="s">
        <v>26</v>
      </c>
      <c r="E7" s="3">
        <v>43098</v>
      </c>
      <c r="F7" s="8">
        <v>115882</v>
      </c>
      <c r="G7">
        <v>49</v>
      </c>
      <c r="H7" t="s">
        <v>36</v>
      </c>
      <c r="I7" t="str">
        <f t="shared" si="0"/>
        <v>Emily Johnson</v>
      </c>
      <c r="J7" t="str">
        <f>VLOOKUP(D7,Lookup_Departments!$A$2:$B$7,2,FALSE)</f>
        <v>Operations</v>
      </c>
      <c r="K7">
        <f t="shared" ca="1" si="1"/>
        <v>8</v>
      </c>
      <c r="L7" t="str">
        <f>IF(G7="","No Score",VLOOKUP(G7,Lookup_Performance!$A$2:$D$6,3,TRUE))</f>
        <v>Needs Improvement</v>
      </c>
      <c r="M7" s="6">
        <f>IF(G7="",0,F7*VLOOKUP(G7,Lookup_Performance!$A$2:$D$6,4,TRUE))</f>
        <v>0</v>
      </c>
    </row>
    <row r="8" spans="1:16" x14ac:dyDescent="0.35">
      <c r="A8" t="s">
        <v>27</v>
      </c>
      <c r="B8" t="s">
        <v>17</v>
      </c>
      <c r="C8" t="s">
        <v>28</v>
      </c>
      <c r="D8" t="s">
        <v>26</v>
      </c>
      <c r="E8" s="3">
        <v>43099</v>
      </c>
      <c r="F8" s="8">
        <v>59980</v>
      </c>
      <c r="G8">
        <v>70</v>
      </c>
      <c r="H8" t="s">
        <v>23</v>
      </c>
      <c r="I8" t="str">
        <f t="shared" si="0"/>
        <v>John Wilson</v>
      </c>
      <c r="J8" t="str">
        <f>VLOOKUP(D8,Lookup_Departments!$A$2:$B$7,2,FALSE)</f>
        <v>Operations</v>
      </c>
      <c r="K8" t="str">
        <f t="shared" ca="1" si="1"/>
        <v>N/A</v>
      </c>
      <c r="L8" t="str">
        <f>IF(G8="","No Score",VLOOKUP(G8,Lookup_Performance!$A$2:$D$6,3,TRUE))</f>
        <v>Achieving</v>
      </c>
      <c r="M8" s="6">
        <f>IF(G8="",0,F8*VLOOKUP(G8,Lookup_Performance!$A$2:$D$6,4,TRUE))</f>
        <v>2999</v>
      </c>
    </row>
    <row r="9" spans="1:16" x14ac:dyDescent="0.35">
      <c r="A9" t="s">
        <v>29</v>
      </c>
      <c r="B9" t="s">
        <v>30</v>
      </c>
      <c r="C9" t="s">
        <v>22</v>
      </c>
      <c r="D9" t="s">
        <v>26</v>
      </c>
      <c r="E9" s="3">
        <v>43100</v>
      </c>
      <c r="F9" s="8">
        <v>68728</v>
      </c>
      <c r="G9">
        <v>45</v>
      </c>
      <c r="H9" t="s">
        <v>36</v>
      </c>
      <c r="I9" t="str">
        <f t="shared" si="0"/>
        <v>Jessica Smith</v>
      </c>
      <c r="J9" t="str">
        <f>VLOOKUP(D9,Lookup_Departments!$A$2:$B$7,2,FALSE)</f>
        <v>Operations</v>
      </c>
      <c r="K9">
        <f t="shared" ca="1" si="1"/>
        <v>8</v>
      </c>
      <c r="L9" t="str">
        <f>IF(G9="","No Score",VLOOKUP(G9,Lookup_Performance!$A$2:$D$6,3,TRUE))</f>
        <v>Needs Improvement</v>
      </c>
      <c r="M9" s="6">
        <f>IF(G9="",0,F9*VLOOKUP(G9,Lookup_Performance!$A$2:$D$6,4,TRUE))</f>
        <v>0</v>
      </c>
    </row>
    <row r="10" spans="1:16" x14ac:dyDescent="0.35">
      <c r="A10" t="s">
        <v>31</v>
      </c>
      <c r="C10" t="s">
        <v>32</v>
      </c>
      <c r="D10" t="s">
        <v>19</v>
      </c>
      <c r="E10" s="3">
        <v>43101</v>
      </c>
      <c r="F10" s="8">
        <v>102139</v>
      </c>
      <c r="G10">
        <v>79</v>
      </c>
      <c r="H10" t="s">
        <v>36</v>
      </c>
      <c r="I10" t="str">
        <f t="shared" si="0"/>
        <v>Rodriguez</v>
      </c>
      <c r="J10" t="str">
        <f>VLOOKUP(D10,Lookup_Departments!$A$2:$B$7,2,FALSE)</f>
        <v>Finance</v>
      </c>
      <c r="K10">
        <f t="shared" ca="1" si="1"/>
        <v>8</v>
      </c>
      <c r="L10" t="str">
        <f>IF(G10="","No Score",VLOOKUP(G10,Lookup_Performance!$A$2:$D$6,3,TRUE))</f>
        <v>Achieving</v>
      </c>
      <c r="M10" s="6">
        <f>IF(G10="",0,F10*VLOOKUP(G10,Lookup_Performance!$A$2:$D$6,4,TRUE))</f>
        <v>5106.9500000000007</v>
      </c>
    </row>
    <row r="11" spans="1:16" x14ac:dyDescent="0.35">
      <c r="A11" t="s">
        <v>33</v>
      </c>
      <c r="B11" t="s">
        <v>34</v>
      </c>
      <c r="C11" t="s">
        <v>18</v>
      </c>
      <c r="D11" t="s">
        <v>35</v>
      </c>
      <c r="E11" s="3">
        <v>43102</v>
      </c>
      <c r="F11" s="8">
        <v>94998</v>
      </c>
      <c r="G11">
        <v>58</v>
      </c>
      <c r="H11" t="s">
        <v>36</v>
      </c>
      <c r="I11" t="str">
        <f t="shared" si="0"/>
        <v>Michael Martinez</v>
      </c>
      <c r="J11" t="str">
        <f>VLOOKUP(D11,Lookup_Departments!$A$2:$B$7,2,FALSE)</f>
        <v>Sales</v>
      </c>
      <c r="K11">
        <f t="shared" ca="1" si="1"/>
        <v>8</v>
      </c>
      <c r="L11" t="str">
        <f>IF(G11="","No Score",VLOOKUP(G11,Lookup_Performance!$A$2:$D$6,3,TRUE))</f>
        <v>Developing</v>
      </c>
      <c r="M11" s="6">
        <f>IF(G11="",0,F11*VLOOKUP(G11,Lookup_Performance!$A$2:$D$6,4,TRUE))</f>
        <v>1899.96</v>
      </c>
    </row>
    <row r="12" spans="1:16" x14ac:dyDescent="0.35">
      <c r="A12" t="s">
        <v>37</v>
      </c>
      <c r="B12" t="s">
        <v>7</v>
      </c>
      <c r="C12" t="s">
        <v>38</v>
      </c>
      <c r="D12" t="s">
        <v>35</v>
      </c>
      <c r="E12" s="3">
        <v>43103</v>
      </c>
      <c r="F12" s="8">
        <v>118635</v>
      </c>
      <c r="G12">
        <v>49</v>
      </c>
      <c r="H12" t="s">
        <v>36</v>
      </c>
      <c r="I12" t="str">
        <f t="shared" si="0"/>
        <v>Emily Miller</v>
      </c>
      <c r="J12" t="str">
        <f>VLOOKUP(D12,Lookup_Departments!$A$2:$B$7,2,FALSE)</f>
        <v>Sales</v>
      </c>
      <c r="K12">
        <f t="shared" ca="1" si="1"/>
        <v>8</v>
      </c>
      <c r="L12" t="str">
        <f>IF(G12="","No Score",VLOOKUP(G12,Lookup_Performance!$A$2:$D$6,3,TRUE))</f>
        <v>Needs Improvement</v>
      </c>
      <c r="M12" s="6">
        <f>IF(G12="",0,F12*VLOOKUP(G12,Lookup_Performance!$A$2:$D$6,4,TRUE))</f>
        <v>0</v>
      </c>
    </row>
    <row r="13" spans="1:16" x14ac:dyDescent="0.35">
      <c r="A13" t="s">
        <v>39</v>
      </c>
      <c r="B13" t="s">
        <v>7</v>
      </c>
      <c r="C13" t="s">
        <v>12</v>
      </c>
      <c r="D13" t="s">
        <v>9</v>
      </c>
      <c r="E13" s="3">
        <v>43104</v>
      </c>
      <c r="F13" s="8">
        <v>76918</v>
      </c>
      <c r="G13">
        <v>62</v>
      </c>
      <c r="H13" t="s">
        <v>36</v>
      </c>
      <c r="I13" t="str">
        <f t="shared" si="0"/>
        <v>Emily Hernandez</v>
      </c>
      <c r="J13" t="str">
        <f>VLOOKUP(D13,Lookup_Departments!$A$2:$B$7,2,FALSE)</f>
        <v>Information Technology</v>
      </c>
      <c r="K13">
        <f t="shared" ca="1" si="1"/>
        <v>8</v>
      </c>
      <c r="L13" t="str">
        <f>IF(G13="","No Score",VLOOKUP(G13,Lookup_Performance!$A$2:$D$6,3,TRUE))</f>
        <v>Developing</v>
      </c>
      <c r="M13" s="6">
        <f>IF(G13="",0,F13*VLOOKUP(G13,Lookup_Performance!$A$2:$D$6,4,TRUE))</f>
        <v>1538.3600000000001</v>
      </c>
    </row>
    <row r="14" spans="1:16" x14ac:dyDescent="0.35">
      <c r="A14" t="s">
        <v>40</v>
      </c>
      <c r="B14" t="s">
        <v>41</v>
      </c>
      <c r="C14" t="s">
        <v>42</v>
      </c>
      <c r="D14" t="s">
        <v>13</v>
      </c>
      <c r="E14" s="3">
        <v>43105</v>
      </c>
      <c r="F14" s="8">
        <v>61408</v>
      </c>
      <c r="G14">
        <v>48</v>
      </c>
      <c r="H14" t="s">
        <v>36</v>
      </c>
      <c r="I14" t="str">
        <f t="shared" si="0"/>
        <v>Jane Williams</v>
      </c>
      <c r="J14" t="str">
        <f>VLOOKUP(D14,Lookup_Departments!$A$2:$B$7,2,FALSE)</f>
        <v>Marketing</v>
      </c>
      <c r="K14">
        <f t="shared" ca="1" si="1"/>
        <v>8</v>
      </c>
      <c r="L14" t="str">
        <f>IF(G14="","No Score",VLOOKUP(G14,Lookup_Performance!$A$2:$D$6,3,TRUE))</f>
        <v>Needs Improvement</v>
      </c>
      <c r="M14" s="6">
        <f>IF(G14="",0,F14*VLOOKUP(G14,Lookup_Performance!$A$2:$D$6,4,TRUE))</f>
        <v>0</v>
      </c>
    </row>
    <row r="15" spans="1:16" x14ac:dyDescent="0.35">
      <c r="A15" t="s">
        <v>43</v>
      </c>
      <c r="B15" t="s">
        <v>41</v>
      </c>
      <c r="C15" t="s">
        <v>38</v>
      </c>
      <c r="D15" t="s">
        <v>13</v>
      </c>
      <c r="E15" s="3">
        <v>43106</v>
      </c>
      <c r="F15" s="8">
        <v>99990</v>
      </c>
      <c r="G15">
        <v>54</v>
      </c>
      <c r="H15" t="s">
        <v>36</v>
      </c>
      <c r="I15" t="str">
        <f t="shared" si="0"/>
        <v>Jane Miller</v>
      </c>
      <c r="J15" t="str">
        <f>VLOOKUP(D15,Lookup_Departments!$A$2:$B$7,2,FALSE)</f>
        <v>Marketing</v>
      </c>
      <c r="K15">
        <f t="shared" ca="1" si="1"/>
        <v>8</v>
      </c>
      <c r="L15" t="str">
        <f>IF(G15="","No Score",VLOOKUP(G15,Lookup_Performance!$A$2:$D$6,3,TRUE))</f>
        <v>Developing</v>
      </c>
      <c r="M15" s="6">
        <f>IF(G15="",0,F15*VLOOKUP(G15,Lookup_Performance!$A$2:$D$6,4,TRUE))</f>
        <v>1999.8</v>
      </c>
    </row>
    <row r="16" spans="1:16" x14ac:dyDescent="0.35">
      <c r="A16" t="s">
        <v>44</v>
      </c>
      <c r="B16" t="s">
        <v>45</v>
      </c>
      <c r="C16" t="s">
        <v>46</v>
      </c>
      <c r="D16" t="s">
        <v>13</v>
      </c>
      <c r="E16" s="3">
        <v>43107</v>
      </c>
      <c r="F16" s="8">
        <v>80385</v>
      </c>
      <c r="H16" t="s">
        <v>36</v>
      </c>
      <c r="I16" t="str">
        <f t="shared" si="0"/>
        <v>Robert Jones</v>
      </c>
      <c r="J16" t="str">
        <f>VLOOKUP(D16,Lookup_Departments!$A$2:$B$7,2,FALSE)</f>
        <v>Marketing</v>
      </c>
      <c r="K16">
        <f t="shared" ca="1" si="1"/>
        <v>8</v>
      </c>
      <c r="L16" t="str">
        <f>IF(G16="","No Score",VLOOKUP(G16,Lookup_Performance!$A$2:$D$6,3,TRUE))</f>
        <v>No Score</v>
      </c>
      <c r="M16" s="6">
        <f>IF(G16="",0,F16*VLOOKUP(G16,Lookup_Performance!$A$2:$D$6,4,TRUE))</f>
        <v>0</v>
      </c>
    </row>
    <row r="17" spans="1:13" x14ac:dyDescent="0.35">
      <c r="A17" t="s">
        <v>47</v>
      </c>
      <c r="B17" t="s">
        <v>21</v>
      </c>
      <c r="C17" t="s">
        <v>32</v>
      </c>
      <c r="D17" t="s">
        <v>35</v>
      </c>
      <c r="E17" s="3">
        <v>43108</v>
      </c>
      <c r="F17" s="8">
        <v>65290</v>
      </c>
      <c r="G17">
        <v>77</v>
      </c>
      <c r="H17" t="s">
        <v>36</v>
      </c>
      <c r="I17" t="str">
        <f t="shared" si="0"/>
        <v>Thomas Rodriguez</v>
      </c>
      <c r="J17" t="str">
        <f>VLOOKUP(D17,Lookup_Departments!$A$2:$B$7,2,FALSE)</f>
        <v>Sales</v>
      </c>
      <c r="K17">
        <f t="shared" ca="1" si="1"/>
        <v>8</v>
      </c>
      <c r="L17" t="str">
        <f>IF(G17="","No Score",VLOOKUP(G17,Lookup_Performance!$A$2:$D$6,3,TRUE))</f>
        <v>Achieving</v>
      </c>
      <c r="M17" s="6">
        <f>IF(G17="",0,F17*VLOOKUP(G17,Lookup_Performance!$A$2:$D$6,4,TRUE))</f>
        <v>3264.5</v>
      </c>
    </row>
    <row r="18" spans="1:13" x14ac:dyDescent="0.35">
      <c r="A18" t="s">
        <v>48</v>
      </c>
      <c r="B18" t="s">
        <v>7</v>
      </c>
      <c r="C18" t="s">
        <v>49</v>
      </c>
      <c r="D18" t="s">
        <v>9</v>
      </c>
      <c r="E18" s="3">
        <v>43109</v>
      </c>
      <c r="F18" s="8">
        <v>105765</v>
      </c>
      <c r="G18">
        <v>42</v>
      </c>
      <c r="H18" t="s">
        <v>36</v>
      </c>
      <c r="I18" t="str">
        <f t="shared" si="0"/>
        <v>Emily Davis</v>
      </c>
      <c r="J18" t="str">
        <f>VLOOKUP(D18,Lookup_Departments!$A$2:$B$7,2,FALSE)</f>
        <v>Information Technology</v>
      </c>
      <c r="K18">
        <f t="shared" ca="1" si="1"/>
        <v>8</v>
      </c>
      <c r="L18" t="str">
        <f>IF(G18="","No Score",VLOOKUP(G18,Lookup_Performance!$A$2:$D$6,3,TRUE))</f>
        <v>Needs Improvement</v>
      </c>
      <c r="M18" s="6">
        <f>IF(G18="",0,F18*VLOOKUP(G18,Lookup_Performance!$A$2:$D$6,4,TRUE))</f>
        <v>0</v>
      </c>
    </row>
    <row r="19" spans="1:13" x14ac:dyDescent="0.35">
      <c r="A19" t="s">
        <v>50</v>
      </c>
      <c r="B19" t="s">
        <v>51</v>
      </c>
      <c r="C19" t="s">
        <v>18</v>
      </c>
      <c r="D19" t="s">
        <v>35</v>
      </c>
      <c r="E19" s="3">
        <v>43110</v>
      </c>
      <c r="F19" s="8">
        <v>102921</v>
      </c>
      <c r="G19">
        <v>49</v>
      </c>
      <c r="H19" t="s">
        <v>36</v>
      </c>
      <c r="I19" t="str">
        <f t="shared" si="0"/>
        <v>James Martinez</v>
      </c>
      <c r="J19" t="str">
        <f>VLOOKUP(D19,Lookup_Departments!$A$2:$B$7,2,FALSE)</f>
        <v>Sales</v>
      </c>
      <c r="K19">
        <f t="shared" ca="1" si="1"/>
        <v>8</v>
      </c>
      <c r="L19" t="str">
        <f>IF(G19="","No Score",VLOOKUP(G19,Lookup_Performance!$A$2:$D$6,3,TRUE))</f>
        <v>Needs Improvement</v>
      </c>
      <c r="M19" s="6">
        <f>IF(G19="",0,F19*VLOOKUP(G19,Lookup_Performance!$A$2:$D$6,4,TRUE))</f>
        <v>0</v>
      </c>
    </row>
    <row r="20" spans="1:13" x14ac:dyDescent="0.35">
      <c r="A20" t="s">
        <v>52</v>
      </c>
      <c r="B20" t="s">
        <v>53</v>
      </c>
      <c r="C20" t="s">
        <v>54</v>
      </c>
      <c r="D20" t="s">
        <v>13</v>
      </c>
      <c r="E20" s="3">
        <v>43111</v>
      </c>
      <c r="F20" s="8">
        <v>73984</v>
      </c>
      <c r="G20">
        <v>93</v>
      </c>
      <c r="H20" t="s">
        <v>36</v>
      </c>
      <c r="I20" t="str">
        <f t="shared" si="0"/>
        <v>Ashley Lopez</v>
      </c>
      <c r="J20" t="str">
        <f>VLOOKUP(D20,Lookup_Departments!$A$2:$B$7,2,FALSE)</f>
        <v>Marketing</v>
      </c>
      <c r="K20">
        <f t="shared" ca="1" si="1"/>
        <v>8</v>
      </c>
      <c r="L20" t="str">
        <f>IF(G20="","No Score",VLOOKUP(G20,Lookup_Performance!$A$2:$D$6,3,TRUE))</f>
        <v>Exceeding</v>
      </c>
      <c r="M20" s="6">
        <f>IF(G20="",0,F20*VLOOKUP(G20,Lookup_Performance!$A$2:$D$6,4,TRUE))</f>
        <v>5918.72</v>
      </c>
    </row>
    <row r="21" spans="1:13" x14ac:dyDescent="0.35">
      <c r="A21" t="s">
        <v>55</v>
      </c>
      <c r="B21" t="s">
        <v>56</v>
      </c>
      <c r="C21" t="s">
        <v>15</v>
      </c>
      <c r="D21" t="s">
        <v>9</v>
      </c>
      <c r="E21" s="3">
        <v>43112</v>
      </c>
      <c r="G21">
        <v>75</v>
      </c>
      <c r="H21" t="s">
        <v>36</v>
      </c>
      <c r="I21" t="str">
        <f t="shared" si="0"/>
        <v>Amanda Gonzalez</v>
      </c>
      <c r="J21" t="str">
        <f>VLOOKUP(D21,Lookup_Departments!$A$2:$B$7,2,FALSE)</f>
        <v>Information Technology</v>
      </c>
      <c r="K21">
        <f t="shared" ca="1" si="1"/>
        <v>8</v>
      </c>
      <c r="L21" t="str">
        <f>IF(G21="","No Score",VLOOKUP(G21,Lookup_Performance!$A$2:$D$6,3,TRUE))</f>
        <v>Achieving</v>
      </c>
      <c r="M21" s="6">
        <f>IF(G21="",0,F21*VLOOKUP(G21,Lookup_Performance!$A$2:$D$6,4,TRUE))</f>
        <v>0</v>
      </c>
    </row>
    <row r="22" spans="1:13" x14ac:dyDescent="0.35">
      <c r="A22" t="s">
        <v>57</v>
      </c>
      <c r="B22" t="s">
        <v>34</v>
      </c>
      <c r="C22" t="s">
        <v>12</v>
      </c>
      <c r="D22" t="s">
        <v>19</v>
      </c>
      <c r="E22" s="3">
        <v>43113</v>
      </c>
      <c r="F22" s="8">
        <v>118527</v>
      </c>
      <c r="G22">
        <v>50</v>
      </c>
      <c r="H22" t="s">
        <v>36</v>
      </c>
      <c r="I22" t="str">
        <f t="shared" si="0"/>
        <v>Michael Hernandez</v>
      </c>
      <c r="J22" t="str">
        <f>VLOOKUP(D22,Lookup_Departments!$A$2:$B$7,2,FALSE)</f>
        <v>Finance</v>
      </c>
      <c r="K22">
        <f t="shared" ca="1" si="1"/>
        <v>8</v>
      </c>
      <c r="L22" t="str">
        <f>IF(G22="","No Score",VLOOKUP(G22,Lookup_Performance!$A$2:$D$6,3,TRUE))</f>
        <v>Developing</v>
      </c>
      <c r="M22" s="6">
        <f>IF(G22="",0,F22*VLOOKUP(G22,Lookup_Performance!$A$2:$D$6,4,TRUE))</f>
        <v>2370.54</v>
      </c>
    </row>
    <row r="23" spans="1:13" x14ac:dyDescent="0.35">
      <c r="A23" t="s">
        <v>58</v>
      </c>
      <c r="B23" t="s">
        <v>11</v>
      </c>
      <c r="C23" t="s">
        <v>12</v>
      </c>
      <c r="D23" t="s">
        <v>13</v>
      </c>
      <c r="E23" s="3">
        <v>43114</v>
      </c>
      <c r="G23">
        <v>88</v>
      </c>
      <c r="H23" t="s">
        <v>36</v>
      </c>
      <c r="I23" t="str">
        <f t="shared" si="0"/>
        <v>Richard Hernandez</v>
      </c>
      <c r="J23" t="str">
        <f>VLOOKUP(D23,Lookup_Departments!$A$2:$B$7,2,FALSE)</f>
        <v>Marketing</v>
      </c>
      <c r="K23">
        <f t="shared" ca="1" si="1"/>
        <v>8</v>
      </c>
      <c r="L23" t="str">
        <f>IF(G23="","No Score",VLOOKUP(G23,Lookup_Performance!$A$2:$D$6,3,TRUE))</f>
        <v>Exceeding</v>
      </c>
      <c r="M23" s="6">
        <f>IF(G23="",0,F23*VLOOKUP(G23,Lookup_Performance!$A$2:$D$6,4,TRUE))</f>
        <v>0</v>
      </c>
    </row>
    <row r="24" spans="1:13" x14ac:dyDescent="0.35">
      <c r="A24" t="s">
        <v>59</v>
      </c>
      <c r="B24" t="s">
        <v>34</v>
      </c>
      <c r="C24" t="s">
        <v>32</v>
      </c>
      <c r="D24" t="s">
        <v>9</v>
      </c>
      <c r="E24" s="3">
        <v>43115</v>
      </c>
      <c r="F24" s="8">
        <v>93956</v>
      </c>
      <c r="G24">
        <v>50</v>
      </c>
      <c r="H24" t="s">
        <v>23</v>
      </c>
      <c r="I24" t="str">
        <f t="shared" si="0"/>
        <v>Michael Rodriguez</v>
      </c>
      <c r="J24" t="str">
        <f>VLOOKUP(D24,Lookup_Departments!$A$2:$B$7,2,FALSE)</f>
        <v>Information Technology</v>
      </c>
      <c r="K24" t="str">
        <f t="shared" ca="1" si="1"/>
        <v>N/A</v>
      </c>
      <c r="L24" t="str">
        <f>IF(G24="","No Score",VLOOKUP(G24,Lookup_Performance!$A$2:$D$6,3,TRUE))</f>
        <v>Developing</v>
      </c>
      <c r="M24" s="6">
        <f>IF(G24="",0,F24*VLOOKUP(G24,Lookup_Performance!$A$2:$D$6,4,TRUE))</f>
        <v>1879.1200000000001</v>
      </c>
    </row>
    <row r="25" spans="1:13" x14ac:dyDescent="0.35">
      <c r="A25" t="s">
        <v>60</v>
      </c>
      <c r="B25" t="s">
        <v>30</v>
      </c>
      <c r="C25" t="s">
        <v>25</v>
      </c>
      <c r="D25" t="s">
        <v>19</v>
      </c>
      <c r="E25" s="3">
        <v>43116</v>
      </c>
      <c r="F25" s="8">
        <v>100851</v>
      </c>
      <c r="G25">
        <v>64</v>
      </c>
      <c r="H25" t="s">
        <v>36</v>
      </c>
      <c r="I25" t="str">
        <f t="shared" si="0"/>
        <v>Jessica Johnson</v>
      </c>
      <c r="J25" t="str">
        <f>VLOOKUP(D25,Lookup_Departments!$A$2:$B$7,2,FALSE)</f>
        <v>Finance</v>
      </c>
      <c r="K25">
        <f t="shared" ca="1" si="1"/>
        <v>8</v>
      </c>
      <c r="L25" t="str">
        <f>IF(G25="","No Score",VLOOKUP(G25,Lookup_Performance!$A$2:$D$6,3,TRUE))</f>
        <v>Developing</v>
      </c>
      <c r="M25" s="6">
        <f>IF(G25="",0,F25*VLOOKUP(G25,Lookup_Performance!$A$2:$D$6,4,TRUE))</f>
        <v>2017.02</v>
      </c>
    </row>
    <row r="26" spans="1:13" x14ac:dyDescent="0.35">
      <c r="A26" t="s">
        <v>61</v>
      </c>
      <c r="B26" t="s">
        <v>53</v>
      </c>
      <c r="C26" t="s">
        <v>42</v>
      </c>
      <c r="D26" t="s">
        <v>35</v>
      </c>
      <c r="E26" s="3">
        <v>43117</v>
      </c>
      <c r="F26" s="8">
        <v>68655</v>
      </c>
      <c r="G26">
        <v>32</v>
      </c>
      <c r="H26" t="s">
        <v>36</v>
      </c>
      <c r="I26" t="str">
        <f t="shared" si="0"/>
        <v>Ashley Williams</v>
      </c>
      <c r="J26" t="str">
        <f>VLOOKUP(D26,Lookup_Departments!$A$2:$B$7,2,FALSE)</f>
        <v>Sales</v>
      </c>
      <c r="K26">
        <f t="shared" ca="1" si="1"/>
        <v>8</v>
      </c>
      <c r="L26" t="str">
        <f>IF(G26="","No Score",VLOOKUP(G26,Lookup_Performance!$A$2:$D$6,3,TRUE))</f>
        <v>Needs Improvement</v>
      </c>
      <c r="M26" s="6">
        <f>IF(G26="",0,F26*VLOOKUP(G26,Lookup_Performance!$A$2:$D$6,4,TRUE))</f>
        <v>0</v>
      </c>
    </row>
    <row r="27" spans="1:13" x14ac:dyDescent="0.35">
      <c r="A27" t="s">
        <v>62</v>
      </c>
      <c r="C27" t="s">
        <v>42</v>
      </c>
      <c r="D27" t="s">
        <v>35</v>
      </c>
      <c r="E27" s="3">
        <v>43118</v>
      </c>
      <c r="F27" s="8">
        <v>81205</v>
      </c>
      <c r="G27">
        <v>59</v>
      </c>
      <c r="H27" t="s">
        <v>36</v>
      </c>
      <c r="I27" t="str">
        <f t="shared" si="0"/>
        <v>Williams</v>
      </c>
      <c r="J27" t="str">
        <f>VLOOKUP(D27,Lookup_Departments!$A$2:$B$7,2,FALSE)</f>
        <v>Sales</v>
      </c>
      <c r="K27">
        <f t="shared" ca="1" si="1"/>
        <v>8</v>
      </c>
      <c r="L27" t="str">
        <f>IF(G27="","No Score",VLOOKUP(G27,Lookup_Performance!$A$2:$D$6,3,TRUE))</f>
        <v>Developing</v>
      </c>
      <c r="M27" s="6">
        <f>IF(G27="",0,F27*VLOOKUP(G27,Lookup_Performance!$A$2:$D$6,4,TRUE))</f>
        <v>1624.1000000000001</v>
      </c>
    </row>
    <row r="28" spans="1:13" x14ac:dyDescent="0.35">
      <c r="A28" t="s">
        <v>63</v>
      </c>
      <c r="B28" t="s">
        <v>17</v>
      </c>
      <c r="C28" t="s">
        <v>28</v>
      </c>
      <c r="D28" t="s">
        <v>35</v>
      </c>
      <c r="E28" s="3">
        <v>43119</v>
      </c>
      <c r="F28" s="8">
        <v>77610</v>
      </c>
      <c r="G28">
        <v>88</v>
      </c>
      <c r="H28" t="s">
        <v>36</v>
      </c>
      <c r="I28" t="str">
        <f t="shared" si="0"/>
        <v>John Wilson</v>
      </c>
      <c r="J28" t="str">
        <f>VLOOKUP(D28,Lookup_Departments!$A$2:$B$7,2,FALSE)</f>
        <v>Sales</v>
      </c>
      <c r="K28">
        <f t="shared" ca="1" si="1"/>
        <v>8</v>
      </c>
      <c r="L28" t="str">
        <f>IF(G28="","No Score",VLOOKUP(G28,Lookup_Performance!$A$2:$D$6,3,TRUE))</f>
        <v>Exceeding</v>
      </c>
      <c r="M28" s="6">
        <f>IF(G28="",0,F28*VLOOKUP(G28,Lookup_Performance!$A$2:$D$6,4,TRUE))</f>
        <v>6208.8</v>
      </c>
    </row>
    <row r="29" spans="1:13" x14ac:dyDescent="0.35">
      <c r="A29" t="s">
        <v>64</v>
      </c>
      <c r="B29" t="s">
        <v>21</v>
      </c>
      <c r="C29" t="s">
        <v>32</v>
      </c>
      <c r="D29" t="s">
        <v>9</v>
      </c>
      <c r="E29" s="3">
        <v>43120</v>
      </c>
      <c r="F29" s="8">
        <v>50873</v>
      </c>
      <c r="G29">
        <v>90</v>
      </c>
      <c r="H29" t="s">
        <v>36</v>
      </c>
      <c r="I29" t="str">
        <f t="shared" si="0"/>
        <v>Thomas Rodriguez</v>
      </c>
      <c r="J29" t="str">
        <f>VLOOKUP(D29,Lookup_Departments!$A$2:$B$7,2,FALSE)</f>
        <v>Information Technology</v>
      </c>
      <c r="K29">
        <f t="shared" ca="1" si="1"/>
        <v>8</v>
      </c>
      <c r="L29" t="str">
        <f>IF(G29="","No Score",VLOOKUP(G29,Lookup_Performance!$A$2:$D$6,3,TRUE))</f>
        <v>Exceeding</v>
      </c>
      <c r="M29" s="6">
        <f>IF(G29="",0,F29*VLOOKUP(G29,Lookup_Performance!$A$2:$D$6,4,TRUE))</f>
        <v>4069.84</v>
      </c>
    </row>
    <row r="30" spans="1:13" x14ac:dyDescent="0.35">
      <c r="A30" t="s">
        <v>65</v>
      </c>
      <c r="B30" t="s">
        <v>34</v>
      </c>
      <c r="C30" t="s">
        <v>28</v>
      </c>
      <c r="D30" t="s">
        <v>19</v>
      </c>
      <c r="E30" s="3">
        <v>43121</v>
      </c>
      <c r="F30" s="8">
        <v>85312</v>
      </c>
      <c r="G30">
        <v>66</v>
      </c>
      <c r="H30" t="s">
        <v>36</v>
      </c>
      <c r="I30" t="str">
        <f t="shared" si="0"/>
        <v>Michael Wilson</v>
      </c>
      <c r="J30" t="str">
        <f>VLOOKUP(D30,Lookup_Departments!$A$2:$B$7,2,FALSE)</f>
        <v>Finance</v>
      </c>
      <c r="K30">
        <f t="shared" ca="1" si="1"/>
        <v>8</v>
      </c>
      <c r="L30" t="str">
        <f>IF(G30="","No Score",VLOOKUP(G30,Lookup_Performance!$A$2:$D$6,3,TRUE))</f>
        <v>Developing</v>
      </c>
      <c r="M30" s="6">
        <f>IF(G30="",0,F30*VLOOKUP(G30,Lookup_Performance!$A$2:$D$6,4,TRUE))</f>
        <v>1706.24</v>
      </c>
    </row>
    <row r="31" spans="1:13" x14ac:dyDescent="0.35">
      <c r="A31" t="s">
        <v>66</v>
      </c>
      <c r="B31" t="s">
        <v>17</v>
      </c>
      <c r="C31" t="s">
        <v>32</v>
      </c>
      <c r="D31" t="s">
        <v>35</v>
      </c>
      <c r="E31" s="3">
        <v>43122</v>
      </c>
      <c r="G31">
        <v>68</v>
      </c>
      <c r="H31" t="s">
        <v>36</v>
      </c>
      <c r="I31" t="str">
        <f t="shared" si="0"/>
        <v>John Rodriguez</v>
      </c>
      <c r="J31" t="str">
        <f>VLOOKUP(D31,Lookup_Departments!$A$2:$B$7,2,FALSE)</f>
        <v>Sales</v>
      </c>
      <c r="K31">
        <f t="shared" ca="1" si="1"/>
        <v>8</v>
      </c>
      <c r="L31" t="str">
        <f>IF(G31="","No Score",VLOOKUP(G31,Lookup_Performance!$A$2:$D$6,3,TRUE))</f>
        <v>Developing</v>
      </c>
      <c r="M31" s="6">
        <f>IF(G31="",0,F31*VLOOKUP(G31,Lookup_Performance!$A$2:$D$6,4,TRUE))</f>
        <v>0</v>
      </c>
    </row>
    <row r="32" spans="1:13" x14ac:dyDescent="0.35">
      <c r="A32" t="s">
        <v>67</v>
      </c>
      <c r="B32" t="s">
        <v>21</v>
      </c>
      <c r="C32" t="s">
        <v>12</v>
      </c>
      <c r="D32" t="s">
        <v>26</v>
      </c>
      <c r="E32" s="3">
        <v>43123</v>
      </c>
      <c r="F32" s="8">
        <v>97055</v>
      </c>
      <c r="G32">
        <v>80</v>
      </c>
      <c r="H32" t="s">
        <v>36</v>
      </c>
      <c r="I32" t="str">
        <f t="shared" si="0"/>
        <v>Thomas Hernandez</v>
      </c>
      <c r="J32" t="str">
        <f>VLOOKUP(D32,Lookup_Departments!$A$2:$B$7,2,FALSE)</f>
        <v>Operations</v>
      </c>
      <c r="K32">
        <f t="shared" ca="1" si="1"/>
        <v>8</v>
      </c>
      <c r="L32" t="str">
        <f>IF(G32="","No Score",VLOOKUP(G32,Lookup_Performance!$A$2:$D$6,3,TRUE))</f>
        <v>Achieving</v>
      </c>
      <c r="M32" s="6">
        <f>IF(G32="",0,F32*VLOOKUP(G32,Lookup_Performance!$A$2:$D$6,4,TRUE))</f>
        <v>4852.75</v>
      </c>
    </row>
    <row r="33" spans="1:13" x14ac:dyDescent="0.35">
      <c r="A33" t="s">
        <v>68</v>
      </c>
      <c r="B33" t="s">
        <v>34</v>
      </c>
      <c r="C33" t="s">
        <v>25</v>
      </c>
      <c r="D33" t="s">
        <v>9</v>
      </c>
      <c r="E33" s="3">
        <v>43124</v>
      </c>
      <c r="F33" s="8">
        <v>66069</v>
      </c>
      <c r="G33">
        <v>72</v>
      </c>
      <c r="H33" t="s">
        <v>36</v>
      </c>
      <c r="I33" t="str">
        <f t="shared" si="0"/>
        <v>Michael Johnson</v>
      </c>
      <c r="J33" t="str">
        <f>VLOOKUP(D33,Lookup_Departments!$A$2:$B$7,2,FALSE)</f>
        <v>Information Technology</v>
      </c>
      <c r="K33">
        <f t="shared" ca="1" si="1"/>
        <v>8</v>
      </c>
      <c r="L33" t="str">
        <f>IF(G33="","No Score",VLOOKUP(G33,Lookup_Performance!$A$2:$D$6,3,TRUE))</f>
        <v>Achieving</v>
      </c>
      <c r="M33" s="6">
        <f>IF(G33="",0,F33*VLOOKUP(G33,Lookup_Performance!$A$2:$D$6,4,TRUE))</f>
        <v>3303.4500000000003</v>
      </c>
    </row>
    <row r="34" spans="1:13" x14ac:dyDescent="0.35">
      <c r="A34" t="s">
        <v>69</v>
      </c>
      <c r="B34" t="s">
        <v>70</v>
      </c>
      <c r="C34" t="s">
        <v>8</v>
      </c>
      <c r="D34" t="s">
        <v>9</v>
      </c>
      <c r="E34" s="3">
        <v>43125</v>
      </c>
      <c r="F34" s="8">
        <v>90157</v>
      </c>
      <c r="G34">
        <v>58</v>
      </c>
      <c r="H34" t="s">
        <v>36</v>
      </c>
      <c r="I34" t="str">
        <f t="shared" si="0"/>
        <v>Sarah Brown</v>
      </c>
      <c r="J34" t="str">
        <f>VLOOKUP(D34,Lookup_Departments!$A$2:$B$7,2,FALSE)</f>
        <v>Information Technology</v>
      </c>
      <c r="K34">
        <f t="shared" ca="1" si="1"/>
        <v>8</v>
      </c>
      <c r="L34" t="str">
        <f>IF(G34="","No Score",VLOOKUP(G34,Lookup_Performance!$A$2:$D$6,3,TRUE))</f>
        <v>Developing</v>
      </c>
      <c r="M34" s="6">
        <f>IF(G34="",0,F34*VLOOKUP(G34,Lookup_Performance!$A$2:$D$6,4,TRUE))</f>
        <v>1803.14</v>
      </c>
    </row>
    <row r="35" spans="1:13" x14ac:dyDescent="0.35">
      <c r="A35" t="s">
        <v>71</v>
      </c>
      <c r="B35" t="s">
        <v>41</v>
      </c>
      <c r="C35" t="s">
        <v>18</v>
      </c>
      <c r="D35" t="s">
        <v>72</v>
      </c>
      <c r="E35" s="3">
        <v>43126</v>
      </c>
      <c r="F35" s="8">
        <v>59899</v>
      </c>
      <c r="G35">
        <v>78</v>
      </c>
      <c r="H35" t="s">
        <v>36</v>
      </c>
      <c r="I35" t="str">
        <f t="shared" si="0"/>
        <v>Jane Martinez</v>
      </c>
      <c r="J35" t="str">
        <f>VLOOKUP(D35,Lookup_Departments!$A$2:$B$7,2,FALSE)</f>
        <v>Human Resources</v>
      </c>
      <c r="K35">
        <f t="shared" ca="1" si="1"/>
        <v>8</v>
      </c>
      <c r="L35" t="str">
        <f>IF(G35="","No Score",VLOOKUP(G35,Lookup_Performance!$A$2:$D$6,3,TRUE))</f>
        <v>Achieving</v>
      </c>
      <c r="M35" s="6">
        <f>IF(G35="",0,F35*VLOOKUP(G35,Lookup_Performance!$A$2:$D$6,4,TRUE))</f>
        <v>2994.9500000000003</v>
      </c>
    </row>
    <row r="36" spans="1:13" x14ac:dyDescent="0.35">
      <c r="A36" t="s">
        <v>73</v>
      </c>
      <c r="B36" t="s">
        <v>7</v>
      </c>
      <c r="C36" t="s">
        <v>46</v>
      </c>
      <c r="D36" t="s">
        <v>19</v>
      </c>
      <c r="E36" s="3">
        <v>43127</v>
      </c>
      <c r="F36" s="8">
        <v>113389</v>
      </c>
      <c r="G36">
        <v>30</v>
      </c>
      <c r="H36" t="s">
        <v>36</v>
      </c>
      <c r="I36" t="str">
        <f t="shared" si="0"/>
        <v>Emily Jones</v>
      </c>
      <c r="J36" t="str">
        <f>VLOOKUP(D36,Lookup_Departments!$A$2:$B$7,2,FALSE)</f>
        <v>Finance</v>
      </c>
      <c r="K36">
        <f t="shared" ca="1" si="1"/>
        <v>8</v>
      </c>
      <c r="L36" t="str">
        <f>IF(G36="","No Score",VLOOKUP(G36,Lookup_Performance!$A$2:$D$6,3,TRUE))</f>
        <v>Needs Improvement</v>
      </c>
      <c r="M36" s="6">
        <f>IF(G36="",0,F36*VLOOKUP(G36,Lookup_Performance!$A$2:$D$6,4,TRUE))</f>
        <v>0</v>
      </c>
    </row>
    <row r="37" spans="1:13" x14ac:dyDescent="0.35">
      <c r="A37" t="s">
        <v>74</v>
      </c>
      <c r="C37" t="s">
        <v>8</v>
      </c>
      <c r="D37" t="s">
        <v>9</v>
      </c>
      <c r="E37" s="3">
        <v>43128</v>
      </c>
      <c r="F37" s="8">
        <v>102691</v>
      </c>
      <c r="G37">
        <v>52</v>
      </c>
      <c r="H37" t="s">
        <v>36</v>
      </c>
      <c r="I37" t="str">
        <f t="shared" si="0"/>
        <v>Brown</v>
      </c>
      <c r="J37" t="str">
        <f>VLOOKUP(D37,Lookup_Departments!$A$2:$B$7,2,FALSE)</f>
        <v>Information Technology</v>
      </c>
      <c r="K37">
        <f t="shared" ca="1" si="1"/>
        <v>8</v>
      </c>
      <c r="L37" t="str">
        <f>IF(G37="","No Score",VLOOKUP(G37,Lookup_Performance!$A$2:$D$6,3,TRUE))</f>
        <v>Developing</v>
      </c>
      <c r="M37" s="6">
        <f>IF(G37="",0,F37*VLOOKUP(G37,Lookup_Performance!$A$2:$D$6,4,TRUE))</f>
        <v>2053.8200000000002</v>
      </c>
    </row>
    <row r="38" spans="1:13" x14ac:dyDescent="0.35">
      <c r="A38" t="s">
        <v>75</v>
      </c>
      <c r="B38" t="s">
        <v>17</v>
      </c>
      <c r="C38" t="s">
        <v>28</v>
      </c>
      <c r="D38" t="s">
        <v>26</v>
      </c>
      <c r="E38" s="3">
        <v>43129</v>
      </c>
      <c r="F38" s="8">
        <v>111845</v>
      </c>
      <c r="G38">
        <v>98</v>
      </c>
      <c r="H38" t="s">
        <v>36</v>
      </c>
      <c r="I38" t="str">
        <f t="shared" si="0"/>
        <v>John Wilson</v>
      </c>
      <c r="J38" t="str">
        <f>VLOOKUP(D38,Lookup_Departments!$A$2:$B$7,2,FALSE)</f>
        <v>Operations</v>
      </c>
      <c r="K38">
        <f t="shared" ca="1" si="1"/>
        <v>8</v>
      </c>
      <c r="L38" t="str">
        <f>IF(G38="","No Score",VLOOKUP(G38,Lookup_Performance!$A$2:$D$6,3,TRUE))</f>
        <v>Outstanding</v>
      </c>
      <c r="M38" s="6">
        <f>IF(G38="",0,F38*VLOOKUP(G38,Lookup_Performance!$A$2:$D$6,4,TRUE))</f>
        <v>13421.4</v>
      </c>
    </row>
    <row r="39" spans="1:13" x14ac:dyDescent="0.35">
      <c r="A39" t="s">
        <v>76</v>
      </c>
      <c r="B39" t="s">
        <v>77</v>
      </c>
      <c r="C39" t="s">
        <v>8</v>
      </c>
      <c r="D39" t="s">
        <v>35</v>
      </c>
      <c r="E39" s="3">
        <v>43130</v>
      </c>
      <c r="F39" s="8">
        <v>69219</v>
      </c>
      <c r="G39">
        <v>93</v>
      </c>
      <c r="H39" t="s">
        <v>36</v>
      </c>
      <c r="I39" t="str">
        <f t="shared" si="0"/>
        <v>Melissa Brown</v>
      </c>
      <c r="J39" t="str">
        <f>VLOOKUP(D39,Lookup_Departments!$A$2:$B$7,2,FALSE)</f>
        <v>Sales</v>
      </c>
      <c r="K39">
        <f t="shared" ca="1" si="1"/>
        <v>8</v>
      </c>
      <c r="L39" t="str">
        <f>IF(G39="","No Score",VLOOKUP(G39,Lookup_Performance!$A$2:$D$6,3,TRUE))</f>
        <v>Exceeding</v>
      </c>
      <c r="M39" s="6">
        <f>IF(G39="",0,F39*VLOOKUP(G39,Lookup_Performance!$A$2:$D$6,4,TRUE))</f>
        <v>5537.52</v>
      </c>
    </row>
    <row r="40" spans="1:13" x14ac:dyDescent="0.35">
      <c r="A40" t="s">
        <v>78</v>
      </c>
      <c r="B40" t="s">
        <v>34</v>
      </c>
      <c r="C40" t="s">
        <v>22</v>
      </c>
      <c r="D40" t="s">
        <v>19</v>
      </c>
      <c r="E40" s="3">
        <v>43131</v>
      </c>
      <c r="G40">
        <v>80</v>
      </c>
      <c r="H40" t="s">
        <v>23</v>
      </c>
      <c r="I40" t="str">
        <f t="shared" si="0"/>
        <v>Michael Smith</v>
      </c>
      <c r="J40" t="str">
        <f>VLOOKUP(D40,Lookup_Departments!$A$2:$B$7,2,FALSE)</f>
        <v>Finance</v>
      </c>
      <c r="K40" t="str">
        <f t="shared" ca="1" si="1"/>
        <v>N/A</v>
      </c>
      <c r="L40" t="str">
        <f>IF(G40="","No Score",VLOOKUP(G40,Lookup_Performance!$A$2:$D$6,3,TRUE))</f>
        <v>Achieving</v>
      </c>
      <c r="M40" s="6">
        <f>IF(G40="",0,F40*VLOOKUP(G40,Lookup_Performance!$A$2:$D$6,4,TRUE))</f>
        <v>0</v>
      </c>
    </row>
    <row r="41" spans="1:13" x14ac:dyDescent="0.35">
      <c r="A41" t="s">
        <v>79</v>
      </c>
      <c r="B41" t="s">
        <v>70</v>
      </c>
      <c r="C41" t="s">
        <v>38</v>
      </c>
      <c r="D41" t="s">
        <v>26</v>
      </c>
      <c r="E41" s="3">
        <v>43132</v>
      </c>
      <c r="F41" s="8">
        <v>57514</v>
      </c>
      <c r="H41" t="s">
        <v>36</v>
      </c>
      <c r="I41" t="str">
        <f t="shared" si="0"/>
        <v>Sarah Miller</v>
      </c>
      <c r="J41" t="str">
        <f>VLOOKUP(D41,Lookup_Departments!$A$2:$B$7,2,FALSE)</f>
        <v>Operations</v>
      </c>
      <c r="K41">
        <f t="shared" ca="1" si="1"/>
        <v>8</v>
      </c>
      <c r="L41" t="str">
        <f>IF(G41="","No Score",VLOOKUP(G41,Lookup_Performance!$A$2:$D$6,3,TRUE))</f>
        <v>No Score</v>
      </c>
      <c r="M41" s="6">
        <f>IF(G41="",0,F41*VLOOKUP(G41,Lookup_Performance!$A$2:$D$6,4,TRUE))</f>
        <v>0</v>
      </c>
    </row>
    <row r="42" spans="1:13" x14ac:dyDescent="0.35">
      <c r="A42" t="s">
        <v>80</v>
      </c>
      <c r="B42" t="s">
        <v>7</v>
      </c>
      <c r="C42" t="s">
        <v>28</v>
      </c>
      <c r="D42" t="s">
        <v>35</v>
      </c>
      <c r="E42" s="3">
        <v>43133</v>
      </c>
      <c r="F42" s="8">
        <v>86245</v>
      </c>
      <c r="G42">
        <v>71</v>
      </c>
      <c r="H42" t="s">
        <v>23</v>
      </c>
      <c r="I42" t="str">
        <f t="shared" si="0"/>
        <v>Emily Wilson</v>
      </c>
      <c r="J42" t="str">
        <f>VLOOKUP(D42,Lookup_Departments!$A$2:$B$7,2,FALSE)</f>
        <v>Sales</v>
      </c>
      <c r="K42" t="str">
        <f t="shared" ca="1" si="1"/>
        <v>N/A</v>
      </c>
      <c r="L42" t="str">
        <f>IF(G42="","No Score",VLOOKUP(G42,Lookup_Performance!$A$2:$D$6,3,TRUE))</f>
        <v>Achieving</v>
      </c>
      <c r="M42" s="6">
        <f>IF(G42="",0,F42*VLOOKUP(G42,Lookup_Performance!$A$2:$D$6,4,TRUE))</f>
        <v>4312.25</v>
      </c>
    </row>
    <row r="43" spans="1:13" x14ac:dyDescent="0.35">
      <c r="A43" t="s">
        <v>81</v>
      </c>
      <c r="B43" t="s">
        <v>82</v>
      </c>
      <c r="C43" t="s">
        <v>12</v>
      </c>
      <c r="D43" t="s">
        <v>35</v>
      </c>
      <c r="E43" s="3">
        <v>43134</v>
      </c>
      <c r="F43" s="8">
        <v>52407</v>
      </c>
      <c r="G43">
        <v>55</v>
      </c>
      <c r="H43" t="s">
        <v>36</v>
      </c>
      <c r="I43" t="str">
        <f t="shared" si="0"/>
        <v>David Hernandez</v>
      </c>
      <c r="J43" t="str">
        <f>VLOOKUP(D43,Lookup_Departments!$A$2:$B$7,2,FALSE)</f>
        <v>Sales</v>
      </c>
      <c r="K43">
        <f t="shared" ca="1" si="1"/>
        <v>8</v>
      </c>
      <c r="L43" t="str">
        <f>IF(G43="","No Score",VLOOKUP(G43,Lookup_Performance!$A$2:$D$6,3,TRUE))</f>
        <v>Developing</v>
      </c>
      <c r="M43" s="6">
        <f>IF(G43="",0,F43*VLOOKUP(G43,Lookup_Performance!$A$2:$D$6,4,TRUE))</f>
        <v>1048.1400000000001</v>
      </c>
    </row>
    <row r="44" spans="1:13" x14ac:dyDescent="0.35">
      <c r="A44" t="s">
        <v>83</v>
      </c>
      <c r="B44" t="s">
        <v>51</v>
      </c>
      <c r="C44" t="s">
        <v>22</v>
      </c>
      <c r="D44" t="s">
        <v>26</v>
      </c>
      <c r="E44" s="3">
        <v>43135</v>
      </c>
      <c r="F44" s="8">
        <v>66606</v>
      </c>
      <c r="G44">
        <v>93</v>
      </c>
      <c r="H44" t="s">
        <v>84</v>
      </c>
      <c r="I44" t="str">
        <f t="shared" si="0"/>
        <v>James Smith</v>
      </c>
      <c r="J44" t="str">
        <f>VLOOKUP(D44,Lookup_Departments!$A$2:$B$7,2,FALSE)</f>
        <v>Operations</v>
      </c>
      <c r="K44" t="str">
        <f t="shared" ca="1" si="1"/>
        <v>N/A</v>
      </c>
      <c r="L44" t="str">
        <f>IF(G44="","No Score",VLOOKUP(G44,Lookup_Performance!$A$2:$D$6,3,TRUE))</f>
        <v>Exceeding</v>
      </c>
      <c r="M44" s="6">
        <f>IF(G44="",0,F44*VLOOKUP(G44,Lookup_Performance!$A$2:$D$6,4,TRUE))</f>
        <v>5328.4800000000005</v>
      </c>
    </row>
    <row r="45" spans="1:13" x14ac:dyDescent="0.35">
      <c r="A45" t="s">
        <v>85</v>
      </c>
      <c r="B45" t="s">
        <v>70</v>
      </c>
      <c r="C45" t="s">
        <v>42</v>
      </c>
      <c r="D45" t="s">
        <v>9</v>
      </c>
      <c r="E45" s="3">
        <v>43136</v>
      </c>
      <c r="F45" s="8">
        <v>81896</v>
      </c>
      <c r="G45">
        <v>79</v>
      </c>
      <c r="H45" t="s">
        <v>84</v>
      </c>
      <c r="I45" t="str">
        <f t="shared" si="0"/>
        <v>Sarah Williams</v>
      </c>
      <c r="J45" t="str">
        <f>VLOOKUP(D45,Lookup_Departments!$A$2:$B$7,2,FALSE)</f>
        <v>Information Technology</v>
      </c>
      <c r="K45" t="str">
        <f t="shared" ca="1" si="1"/>
        <v>N/A</v>
      </c>
      <c r="L45" t="str">
        <f>IF(G45="","No Score",VLOOKUP(G45,Lookup_Performance!$A$2:$D$6,3,TRUE))</f>
        <v>Achieving</v>
      </c>
      <c r="M45" s="6">
        <f>IF(G45="",0,F45*VLOOKUP(G45,Lookup_Performance!$A$2:$D$6,4,TRUE))</f>
        <v>4094.8</v>
      </c>
    </row>
    <row r="46" spans="1:13" x14ac:dyDescent="0.35">
      <c r="A46" t="s">
        <v>86</v>
      </c>
      <c r="B46" t="s">
        <v>56</v>
      </c>
      <c r="C46" t="s">
        <v>54</v>
      </c>
      <c r="D46" t="s">
        <v>35</v>
      </c>
      <c r="E46" s="3">
        <v>43137</v>
      </c>
      <c r="F46" s="8">
        <v>78402</v>
      </c>
      <c r="G46">
        <v>54</v>
      </c>
      <c r="H46" t="s">
        <v>36</v>
      </c>
      <c r="I46" t="str">
        <f t="shared" si="0"/>
        <v>Amanda Lopez</v>
      </c>
      <c r="J46" t="str">
        <f>VLOOKUP(D46,Lookup_Departments!$A$2:$B$7,2,FALSE)</f>
        <v>Sales</v>
      </c>
      <c r="K46">
        <f t="shared" ca="1" si="1"/>
        <v>8</v>
      </c>
      <c r="L46" t="str">
        <f>IF(G46="","No Score",VLOOKUP(G46,Lookup_Performance!$A$2:$D$6,3,TRUE))</f>
        <v>Developing</v>
      </c>
      <c r="M46" s="6">
        <f>IF(G46="",0,F46*VLOOKUP(G46,Lookup_Performance!$A$2:$D$6,4,TRUE))</f>
        <v>1568.04</v>
      </c>
    </row>
    <row r="47" spans="1:13" x14ac:dyDescent="0.35">
      <c r="A47" t="s">
        <v>87</v>
      </c>
      <c r="B47" t="s">
        <v>21</v>
      </c>
      <c r="C47" t="s">
        <v>54</v>
      </c>
      <c r="D47" t="s">
        <v>26</v>
      </c>
      <c r="E47" s="3">
        <v>43138</v>
      </c>
      <c r="F47" s="8">
        <v>105498</v>
      </c>
      <c r="G47">
        <v>76</v>
      </c>
      <c r="H47" t="s">
        <v>36</v>
      </c>
      <c r="I47" t="str">
        <f t="shared" si="0"/>
        <v>Thomas Lopez</v>
      </c>
      <c r="J47" t="str">
        <f>VLOOKUP(D47,Lookup_Departments!$A$2:$B$7,2,FALSE)</f>
        <v>Operations</v>
      </c>
      <c r="K47">
        <f t="shared" ca="1" si="1"/>
        <v>8</v>
      </c>
      <c r="L47" t="str">
        <f>IF(G47="","No Score",VLOOKUP(G47,Lookup_Performance!$A$2:$D$6,3,TRUE))</f>
        <v>Achieving</v>
      </c>
      <c r="M47" s="6">
        <f>IF(G47="",0,F47*VLOOKUP(G47,Lookup_Performance!$A$2:$D$6,4,TRUE))</f>
        <v>5274.9000000000005</v>
      </c>
    </row>
    <row r="48" spans="1:13" x14ac:dyDescent="0.35">
      <c r="A48" t="s">
        <v>88</v>
      </c>
      <c r="B48" t="s">
        <v>77</v>
      </c>
      <c r="C48" t="s">
        <v>25</v>
      </c>
      <c r="D48" t="s">
        <v>13</v>
      </c>
      <c r="E48" s="3">
        <v>43139</v>
      </c>
      <c r="F48" s="8">
        <v>91749</v>
      </c>
      <c r="G48">
        <v>72</v>
      </c>
      <c r="H48" t="s">
        <v>23</v>
      </c>
      <c r="I48" t="str">
        <f t="shared" si="0"/>
        <v>Melissa Johnson</v>
      </c>
      <c r="J48" t="str">
        <f>VLOOKUP(D48,Lookup_Departments!$A$2:$B$7,2,FALSE)</f>
        <v>Marketing</v>
      </c>
      <c r="K48" t="str">
        <f t="shared" ca="1" si="1"/>
        <v>N/A</v>
      </c>
      <c r="L48" t="str">
        <f>IF(G48="","No Score",VLOOKUP(G48,Lookup_Performance!$A$2:$D$6,3,TRUE))</f>
        <v>Achieving</v>
      </c>
      <c r="M48" s="6">
        <f>IF(G48="",0,F48*VLOOKUP(G48,Lookup_Performance!$A$2:$D$6,4,TRUE))</f>
        <v>4587.45</v>
      </c>
    </row>
    <row r="49" spans="1:13" x14ac:dyDescent="0.35">
      <c r="A49" t="s">
        <v>89</v>
      </c>
      <c r="B49" t="s">
        <v>56</v>
      </c>
      <c r="C49" t="s">
        <v>25</v>
      </c>
      <c r="D49" t="s">
        <v>26</v>
      </c>
      <c r="E49" s="3">
        <v>43140</v>
      </c>
      <c r="F49" s="8">
        <v>99935</v>
      </c>
      <c r="G49">
        <v>84</v>
      </c>
      <c r="H49" t="s">
        <v>84</v>
      </c>
      <c r="I49" t="str">
        <f t="shared" si="0"/>
        <v>Amanda Johnson</v>
      </c>
      <c r="J49" t="str">
        <f>VLOOKUP(D49,Lookup_Departments!$A$2:$B$7,2,FALSE)</f>
        <v>Operations</v>
      </c>
      <c r="K49" t="str">
        <f t="shared" ca="1" si="1"/>
        <v>N/A</v>
      </c>
      <c r="L49" t="str">
        <f>IF(G49="","No Score",VLOOKUP(G49,Lookup_Performance!$A$2:$D$6,3,TRUE))</f>
        <v>Achieving</v>
      </c>
      <c r="M49" s="6">
        <f>IF(G49="",0,F49*VLOOKUP(G49,Lookup_Performance!$A$2:$D$6,4,TRUE))</f>
        <v>4996.75</v>
      </c>
    </row>
    <row r="50" spans="1:13" x14ac:dyDescent="0.35">
      <c r="A50" t="s">
        <v>90</v>
      </c>
      <c r="B50" t="s">
        <v>17</v>
      </c>
      <c r="C50" t="s">
        <v>49</v>
      </c>
      <c r="D50" t="s">
        <v>9</v>
      </c>
      <c r="E50" s="3">
        <v>43141</v>
      </c>
      <c r="F50" s="8">
        <v>83531</v>
      </c>
      <c r="G50">
        <v>30</v>
      </c>
      <c r="H50" t="s">
        <v>23</v>
      </c>
      <c r="I50" t="str">
        <f t="shared" si="0"/>
        <v>John Davis</v>
      </c>
      <c r="J50" t="str">
        <f>VLOOKUP(D50,Lookup_Departments!$A$2:$B$7,2,FALSE)</f>
        <v>Information Technology</v>
      </c>
      <c r="K50" t="str">
        <f t="shared" ca="1" si="1"/>
        <v>N/A</v>
      </c>
      <c r="L50" t="str">
        <f>IF(G50="","No Score",VLOOKUP(G50,Lookup_Performance!$A$2:$D$6,3,TRUE))</f>
        <v>Needs Improvement</v>
      </c>
      <c r="M50" s="6">
        <f>IF(G50="",0,F50*VLOOKUP(G50,Lookup_Performance!$A$2:$D$6,4,TRUE))</f>
        <v>0</v>
      </c>
    </row>
    <row r="51" spans="1:13" x14ac:dyDescent="0.35">
      <c r="A51" t="s">
        <v>91</v>
      </c>
      <c r="B51" t="s">
        <v>51</v>
      </c>
      <c r="C51" t="s">
        <v>25</v>
      </c>
      <c r="D51" t="s">
        <v>13</v>
      </c>
      <c r="E51" s="3">
        <v>43142</v>
      </c>
      <c r="F51" s="8">
        <v>75023</v>
      </c>
      <c r="H51" t="s">
        <v>36</v>
      </c>
      <c r="I51" t="str">
        <f t="shared" si="0"/>
        <v>James Johnson</v>
      </c>
      <c r="J51" t="str">
        <f>VLOOKUP(D51,Lookup_Departments!$A$2:$B$7,2,FALSE)</f>
        <v>Marketing</v>
      </c>
      <c r="K51">
        <f t="shared" ca="1" si="1"/>
        <v>8</v>
      </c>
      <c r="L51" t="str">
        <f>IF(G51="","No Score",VLOOKUP(G51,Lookup_Performance!$A$2:$D$6,3,TRUE))</f>
        <v>No Score</v>
      </c>
      <c r="M51" s="6">
        <f>IF(G51="",0,F51*VLOOKUP(G51,Lookup_Performance!$A$2:$D$6,4,TRUE))</f>
        <v>0</v>
      </c>
    </row>
    <row r="52" spans="1:13" x14ac:dyDescent="0.35">
      <c r="A52" t="s">
        <v>92</v>
      </c>
      <c r="B52" t="s">
        <v>41</v>
      </c>
      <c r="C52" t="s">
        <v>49</v>
      </c>
      <c r="D52" t="s">
        <v>72</v>
      </c>
      <c r="E52" s="3">
        <v>43143</v>
      </c>
      <c r="F52" s="8">
        <v>93290</v>
      </c>
      <c r="G52">
        <v>53</v>
      </c>
      <c r="H52" t="s">
        <v>36</v>
      </c>
      <c r="I52" t="str">
        <f t="shared" si="0"/>
        <v>Jane Davis</v>
      </c>
      <c r="J52" t="str">
        <f>VLOOKUP(D52,Lookup_Departments!$A$2:$B$7,2,FALSE)</f>
        <v>Human Resources</v>
      </c>
      <c r="K52">
        <f t="shared" ca="1" si="1"/>
        <v>8</v>
      </c>
      <c r="L52" t="str">
        <f>IF(G52="","No Score",VLOOKUP(G52,Lookup_Performance!$A$2:$D$6,3,TRUE))</f>
        <v>Developing</v>
      </c>
      <c r="M52" s="6">
        <f>IF(G52="",0,F52*VLOOKUP(G52,Lookup_Performance!$A$2:$D$6,4,TRUE))</f>
        <v>1865.8</v>
      </c>
    </row>
    <row r="53" spans="1:13" x14ac:dyDescent="0.35">
      <c r="A53" t="s">
        <v>93</v>
      </c>
      <c r="B53" t="s">
        <v>11</v>
      </c>
      <c r="C53" t="s">
        <v>49</v>
      </c>
      <c r="D53" t="s">
        <v>26</v>
      </c>
      <c r="E53" s="3">
        <v>43144</v>
      </c>
      <c r="F53" s="8">
        <v>115527</v>
      </c>
      <c r="G53">
        <v>63</v>
      </c>
      <c r="H53" t="s">
        <v>84</v>
      </c>
      <c r="I53" t="str">
        <f t="shared" si="0"/>
        <v>Richard Davis</v>
      </c>
      <c r="J53" t="str">
        <f>VLOOKUP(D53,Lookup_Departments!$A$2:$B$7,2,FALSE)</f>
        <v>Operations</v>
      </c>
      <c r="K53" t="str">
        <f t="shared" ca="1" si="1"/>
        <v>N/A</v>
      </c>
      <c r="L53" t="str">
        <f>IF(G53="","No Score",VLOOKUP(G53,Lookup_Performance!$A$2:$D$6,3,TRUE))</f>
        <v>Developing</v>
      </c>
      <c r="M53" s="6">
        <f>IF(G53="",0,F53*VLOOKUP(G53,Lookup_Performance!$A$2:$D$6,4,TRUE))</f>
        <v>2310.54</v>
      </c>
    </row>
    <row r="54" spans="1:13" x14ac:dyDescent="0.35">
      <c r="A54" t="s">
        <v>94</v>
      </c>
      <c r="B54" t="s">
        <v>21</v>
      </c>
      <c r="C54" t="s">
        <v>32</v>
      </c>
      <c r="D54" t="s">
        <v>19</v>
      </c>
      <c r="E54" s="3">
        <v>43145</v>
      </c>
      <c r="F54" s="8">
        <v>55920</v>
      </c>
      <c r="G54">
        <v>84</v>
      </c>
      <c r="H54" t="s">
        <v>36</v>
      </c>
      <c r="I54" t="str">
        <f t="shared" si="0"/>
        <v>Thomas Rodriguez</v>
      </c>
      <c r="J54" t="str">
        <f>VLOOKUP(D54,Lookup_Departments!$A$2:$B$7,2,FALSE)</f>
        <v>Finance</v>
      </c>
      <c r="K54">
        <f t="shared" ca="1" si="1"/>
        <v>8</v>
      </c>
      <c r="L54" t="str">
        <f>IF(G54="","No Score",VLOOKUP(G54,Lookup_Performance!$A$2:$D$6,3,TRUE))</f>
        <v>Achieving</v>
      </c>
      <c r="M54" s="6">
        <f>IF(G54="",0,F54*VLOOKUP(G54,Lookup_Performance!$A$2:$D$6,4,TRUE))</f>
        <v>2796</v>
      </c>
    </row>
    <row r="55" spans="1:13" x14ac:dyDescent="0.35">
      <c r="A55" t="s">
        <v>95</v>
      </c>
      <c r="B55" t="s">
        <v>7</v>
      </c>
      <c r="C55" t="s">
        <v>25</v>
      </c>
      <c r="D55" t="s">
        <v>35</v>
      </c>
      <c r="E55" s="3">
        <v>43146</v>
      </c>
      <c r="F55" s="8">
        <v>80189</v>
      </c>
      <c r="G55">
        <v>30</v>
      </c>
      <c r="H55" t="s">
        <v>36</v>
      </c>
      <c r="I55" t="str">
        <f t="shared" si="0"/>
        <v>Emily Johnson</v>
      </c>
      <c r="J55" t="str">
        <f>VLOOKUP(D55,Lookup_Departments!$A$2:$B$7,2,FALSE)</f>
        <v>Sales</v>
      </c>
      <c r="K55">
        <f t="shared" ca="1" si="1"/>
        <v>8</v>
      </c>
      <c r="L55" t="str">
        <f>IF(G55="","No Score",VLOOKUP(G55,Lookup_Performance!$A$2:$D$6,3,TRUE))</f>
        <v>Needs Improvement</v>
      </c>
      <c r="M55" s="6">
        <f>IF(G55="",0,F55*VLOOKUP(G55,Lookup_Performance!$A$2:$D$6,4,TRUE))</f>
        <v>0</v>
      </c>
    </row>
    <row r="56" spans="1:13" x14ac:dyDescent="0.35">
      <c r="A56" t="s">
        <v>96</v>
      </c>
      <c r="B56" t="s">
        <v>7</v>
      </c>
      <c r="C56" t="s">
        <v>97</v>
      </c>
      <c r="D56" t="s">
        <v>72</v>
      </c>
      <c r="E56" s="3">
        <v>43147</v>
      </c>
      <c r="F56" s="8">
        <v>118947</v>
      </c>
      <c r="G56">
        <v>96</v>
      </c>
      <c r="H56" t="s">
        <v>36</v>
      </c>
      <c r="I56" t="str">
        <f t="shared" si="0"/>
        <v>Emily Garcia</v>
      </c>
      <c r="J56" t="str">
        <f>VLOOKUP(D56,Lookup_Departments!$A$2:$B$7,2,FALSE)</f>
        <v>Human Resources</v>
      </c>
      <c r="K56">
        <f t="shared" ca="1" si="1"/>
        <v>8</v>
      </c>
      <c r="L56" t="str">
        <f>IF(G56="","No Score",VLOOKUP(G56,Lookup_Performance!$A$2:$D$6,3,TRUE))</f>
        <v>Outstanding</v>
      </c>
      <c r="M56" s="6">
        <f>IF(G56="",0,F56*VLOOKUP(G56,Lookup_Performance!$A$2:$D$6,4,TRUE))</f>
        <v>14273.64</v>
      </c>
    </row>
    <row r="57" spans="1:13" x14ac:dyDescent="0.35">
      <c r="A57" t="s">
        <v>98</v>
      </c>
      <c r="B57" t="s">
        <v>41</v>
      </c>
      <c r="C57" t="s">
        <v>99</v>
      </c>
      <c r="D57" t="s">
        <v>9</v>
      </c>
      <c r="E57" s="3">
        <v>43148</v>
      </c>
      <c r="G57">
        <v>54</v>
      </c>
      <c r="H57" t="s">
        <v>36</v>
      </c>
      <c r="I57" t="str">
        <f t="shared" si="0"/>
        <v>Jane Anderson</v>
      </c>
      <c r="J57" t="str">
        <f>VLOOKUP(D57,Lookup_Departments!$A$2:$B$7,2,FALSE)</f>
        <v>Information Technology</v>
      </c>
      <c r="K57">
        <f t="shared" ca="1" si="1"/>
        <v>8</v>
      </c>
      <c r="L57" t="str">
        <f>IF(G57="","No Score",VLOOKUP(G57,Lookup_Performance!$A$2:$D$6,3,TRUE))</f>
        <v>Developing</v>
      </c>
      <c r="M57" s="6">
        <f>IF(G57="",0,F57*VLOOKUP(G57,Lookup_Performance!$A$2:$D$6,4,TRUE))</f>
        <v>0</v>
      </c>
    </row>
    <row r="58" spans="1:13" x14ac:dyDescent="0.35">
      <c r="A58" t="s">
        <v>100</v>
      </c>
      <c r="B58" t="s">
        <v>21</v>
      </c>
      <c r="C58" t="s">
        <v>97</v>
      </c>
      <c r="D58" t="s">
        <v>26</v>
      </c>
      <c r="E58" s="3">
        <v>43149</v>
      </c>
      <c r="G58">
        <v>75</v>
      </c>
      <c r="H58" t="s">
        <v>36</v>
      </c>
      <c r="I58" t="str">
        <f t="shared" si="0"/>
        <v>Thomas Garcia</v>
      </c>
      <c r="J58" t="str">
        <f>VLOOKUP(D58,Lookup_Departments!$A$2:$B$7,2,FALSE)</f>
        <v>Operations</v>
      </c>
      <c r="K58">
        <f t="shared" ca="1" si="1"/>
        <v>8</v>
      </c>
      <c r="L58" t="str">
        <f>IF(G58="","No Score",VLOOKUP(G58,Lookup_Performance!$A$2:$D$6,3,TRUE))</f>
        <v>Achieving</v>
      </c>
      <c r="M58" s="6">
        <f>IF(G58="",0,F58*VLOOKUP(G58,Lookup_Performance!$A$2:$D$6,4,TRUE))</f>
        <v>0</v>
      </c>
    </row>
    <row r="59" spans="1:13" x14ac:dyDescent="0.35">
      <c r="A59" t="s">
        <v>101</v>
      </c>
      <c r="B59" t="s">
        <v>82</v>
      </c>
      <c r="C59" t="s">
        <v>18</v>
      </c>
      <c r="D59" t="s">
        <v>72</v>
      </c>
      <c r="E59" s="3">
        <v>43150</v>
      </c>
      <c r="F59" s="8">
        <v>91655</v>
      </c>
      <c r="G59">
        <v>95</v>
      </c>
      <c r="H59" t="s">
        <v>36</v>
      </c>
      <c r="I59" t="str">
        <f t="shared" si="0"/>
        <v>David Martinez</v>
      </c>
      <c r="J59" t="str">
        <f>VLOOKUP(D59,Lookup_Departments!$A$2:$B$7,2,FALSE)</f>
        <v>Human Resources</v>
      </c>
      <c r="K59">
        <f t="shared" ca="1" si="1"/>
        <v>8</v>
      </c>
      <c r="L59" t="str">
        <f>IF(G59="","No Score",VLOOKUP(G59,Lookup_Performance!$A$2:$D$6,3,TRUE))</f>
        <v>Outstanding</v>
      </c>
      <c r="M59" s="6">
        <f>IF(G59="",0,F59*VLOOKUP(G59,Lookup_Performance!$A$2:$D$6,4,TRUE))</f>
        <v>10998.6</v>
      </c>
    </row>
    <row r="60" spans="1:13" x14ac:dyDescent="0.35">
      <c r="A60" t="s">
        <v>102</v>
      </c>
      <c r="B60" t="s">
        <v>7</v>
      </c>
      <c r="C60" t="s">
        <v>8</v>
      </c>
      <c r="D60" t="s">
        <v>9</v>
      </c>
      <c r="E60" s="3">
        <v>43151</v>
      </c>
      <c r="F60" s="8">
        <v>49435</v>
      </c>
      <c r="H60" t="s">
        <v>23</v>
      </c>
      <c r="I60" t="str">
        <f t="shared" si="0"/>
        <v>Emily Brown</v>
      </c>
      <c r="J60" t="str">
        <f>VLOOKUP(D60,Lookup_Departments!$A$2:$B$7,2,FALSE)</f>
        <v>Information Technology</v>
      </c>
      <c r="K60" t="str">
        <f t="shared" ca="1" si="1"/>
        <v>N/A</v>
      </c>
      <c r="L60" t="str">
        <f>IF(G60="","No Score",VLOOKUP(G60,Lookup_Performance!$A$2:$D$6,3,TRUE))</f>
        <v>No Score</v>
      </c>
      <c r="M60" s="6">
        <f>IF(G60="",0,F60*VLOOKUP(G60,Lookup_Performance!$A$2:$D$6,4,TRUE))</f>
        <v>0</v>
      </c>
    </row>
    <row r="61" spans="1:13" x14ac:dyDescent="0.35">
      <c r="A61" t="s">
        <v>103</v>
      </c>
      <c r="B61" t="s">
        <v>7</v>
      </c>
      <c r="C61" t="s">
        <v>28</v>
      </c>
      <c r="D61" t="s">
        <v>35</v>
      </c>
      <c r="E61" s="3">
        <v>43152</v>
      </c>
      <c r="F61" s="8">
        <v>110381</v>
      </c>
      <c r="G61">
        <v>93</v>
      </c>
      <c r="H61" t="s">
        <v>36</v>
      </c>
      <c r="I61" t="str">
        <f t="shared" si="0"/>
        <v>Emily Wilson</v>
      </c>
      <c r="J61" t="str">
        <f>VLOOKUP(D61,Lookup_Departments!$A$2:$B$7,2,FALSE)</f>
        <v>Sales</v>
      </c>
      <c r="K61">
        <f t="shared" ca="1" si="1"/>
        <v>8</v>
      </c>
      <c r="L61" t="str">
        <f>IF(G61="","No Score",VLOOKUP(G61,Lookup_Performance!$A$2:$D$6,3,TRUE))</f>
        <v>Exceeding</v>
      </c>
      <c r="M61" s="6">
        <f>IF(G61="",0,F61*VLOOKUP(G61,Lookup_Performance!$A$2:$D$6,4,TRUE))</f>
        <v>8830.48</v>
      </c>
    </row>
    <row r="62" spans="1:13" x14ac:dyDescent="0.35">
      <c r="A62" t="s">
        <v>104</v>
      </c>
      <c r="B62" t="s">
        <v>34</v>
      </c>
      <c r="C62" t="s">
        <v>99</v>
      </c>
      <c r="D62" t="s">
        <v>72</v>
      </c>
      <c r="E62" s="3">
        <v>43153</v>
      </c>
      <c r="F62" s="8">
        <v>114748</v>
      </c>
      <c r="G62">
        <v>33</v>
      </c>
      <c r="H62" t="s">
        <v>36</v>
      </c>
      <c r="I62" t="str">
        <f t="shared" si="0"/>
        <v>Michael Anderson</v>
      </c>
      <c r="J62" t="str">
        <f>VLOOKUP(D62,Lookup_Departments!$A$2:$B$7,2,FALSE)</f>
        <v>Human Resources</v>
      </c>
      <c r="K62">
        <f t="shared" ca="1" si="1"/>
        <v>8</v>
      </c>
      <c r="L62" t="str">
        <f>IF(G62="","No Score",VLOOKUP(G62,Lookup_Performance!$A$2:$D$6,3,TRUE))</f>
        <v>Needs Improvement</v>
      </c>
      <c r="M62" s="6">
        <f>IF(G62="",0,F62*VLOOKUP(G62,Lookup_Performance!$A$2:$D$6,4,TRUE))</f>
        <v>0</v>
      </c>
    </row>
    <row r="63" spans="1:13" x14ac:dyDescent="0.35">
      <c r="A63" t="s">
        <v>105</v>
      </c>
      <c r="B63" t="s">
        <v>45</v>
      </c>
      <c r="C63" t="s">
        <v>25</v>
      </c>
      <c r="D63" t="s">
        <v>26</v>
      </c>
      <c r="E63" s="3">
        <v>43154</v>
      </c>
      <c r="F63" s="8">
        <v>63302</v>
      </c>
      <c r="G63">
        <v>91</v>
      </c>
      <c r="H63" t="s">
        <v>36</v>
      </c>
      <c r="I63" t="str">
        <f t="shared" si="0"/>
        <v>Robert Johnson</v>
      </c>
      <c r="J63" t="str">
        <f>VLOOKUP(D63,Lookup_Departments!$A$2:$B$7,2,FALSE)</f>
        <v>Operations</v>
      </c>
      <c r="K63">
        <f t="shared" ca="1" si="1"/>
        <v>8</v>
      </c>
      <c r="L63" t="str">
        <f>IF(G63="","No Score",VLOOKUP(G63,Lookup_Performance!$A$2:$D$6,3,TRUE))</f>
        <v>Exceeding</v>
      </c>
      <c r="M63" s="6">
        <f>IF(G63="",0,F63*VLOOKUP(G63,Lookup_Performance!$A$2:$D$6,4,TRUE))</f>
        <v>5064.16</v>
      </c>
    </row>
    <row r="64" spans="1:13" x14ac:dyDescent="0.35">
      <c r="A64" t="s">
        <v>106</v>
      </c>
      <c r="B64" t="s">
        <v>45</v>
      </c>
      <c r="C64" t="s">
        <v>38</v>
      </c>
      <c r="D64" t="s">
        <v>9</v>
      </c>
      <c r="E64" s="3">
        <v>43155</v>
      </c>
      <c r="F64" s="8">
        <v>75519</v>
      </c>
      <c r="G64">
        <v>64</v>
      </c>
      <c r="H64" t="s">
        <v>36</v>
      </c>
      <c r="I64" t="str">
        <f t="shared" si="0"/>
        <v>Robert Miller</v>
      </c>
      <c r="J64" t="str">
        <f>VLOOKUP(D64,Lookup_Departments!$A$2:$B$7,2,FALSE)</f>
        <v>Information Technology</v>
      </c>
      <c r="K64">
        <f t="shared" ca="1" si="1"/>
        <v>8</v>
      </c>
      <c r="L64" t="str">
        <f>IF(G64="","No Score",VLOOKUP(G64,Lookup_Performance!$A$2:$D$6,3,TRUE))</f>
        <v>Developing</v>
      </c>
      <c r="M64" s="6">
        <f>IF(G64="",0,F64*VLOOKUP(G64,Lookup_Performance!$A$2:$D$6,4,TRUE))</f>
        <v>1510.38</v>
      </c>
    </row>
    <row r="65" spans="1:13" x14ac:dyDescent="0.35">
      <c r="A65" t="s">
        <v>107</v>
      </c>
      <c r="B65" t="s">
        <v>41</v>
      </c>
      <c r="C65" t="s">
        <v>49</v>
      </c>
      <c r="D65" t="s">
        <v>19</v>
      </c>
      <c r="E65" s="3">
        <v>43156</v>
      </c>
      <c r="F65" s="8">
        <v>103891</v>
      </c>
      <c r="G65">
        <v>80</v>
      </c>
      <c r="H65" t="s">
        <v>36</v>
      </c>
      <c r="I65" t="str">
        <f t="shared" si="0"/>
        <v>Jane Davis</v>
      </c>
      <c r="J65" t="str">
        <f>VLOOKUP(D65,Lookup_Departments!$A$2:$B$7,2,FALSE)</f>
        <v>Finance</v>
      </c>
      <c r="K65">
        <f t="shared" ca="1" si="1"/>
        <v>8</v>
      </c>
      <c r="L65" t="str">
        <f>IF(G65="","No Score",VLOOKUP(G65,Lookup_Performance!$A$2:$D$6,3,TRUE))</f>
        <v>Achieving</v>
      </c>
      <c r="M65" s="6">
        <f>IF(G65="",0,F65*VLOOKUP(G65,Lookup_Performance!$A$2:$D$6,4,TRUE))</f>
        <v>5194.55</v>
      </c>
    </row>
    <row r="66" spans="1:13" x14ac:dyDescent="0.35">
      <c r="A66" t="s">
        <v>108</v>
      </c>
      <c r="B66" t="s">
        <v>21</v>
      </c>
      <c r="C66" t="s">
        <v>49</v>
      </c>
      <c r="D66" t="s">
        <v>26</v>
      </c>
      <c r="E66" s="3">
        <v>43157</v>
      </c>
      <c r="G66">
        <v>46</v>
      </c>
      <c r="H66" t="s">
        <v>23</v>
      </c>
      <c r="I66" t="str">
        <f t="shared" si="0"/>
        <v>Thomas Davis</v>
      </c>
      <c r="J66" t="str">
        <f>VLOOKUP(D66,Lookup_Departments!$A$2:$B$7,2,FALSE)</f>
        <v>Operations</v>
      </c>
      <c r="K66" t="str">
        <f t="shared" ca="1" si="1"/>
        <v>N/A</v>
      </c>
      <c r="L66" t="str">
        <f>IF(G66="","No Score",VLOOKUP(G66,Lookup_Performance!$A$2:$D$6,3,TRUE))</f>
        <v>Needs Improvement</v>
      </c>
      <c r="M66" s="6">
        <f>IF(G66="",0,F66*VLOOKUP(G66,Lookup_Performance!$A$2:$D$6,4,TRUE))</f>
        <v>0</v>
      </c>
    </row>
    <row r="67" spans="1:13" x14ac:dyDescent="0.35">
      <c r="A67" t="s">
        <v>109</v>
      </c>
      <c r="B67" t="s">
        <v>21</v>
      </c>
      <c r="C67" t="s">
        <v>46</v>
      </c>
      <c r="D67" t="s">
        <v>13</v>
      </c>
      <c r="E67" s="3">
        <v>43158</v>
      </c>
      <c r="F67" s="8">
        <v>50936</v>
      </c>
      <c r="G67">
        <v>99</v>
      </c>
      <c r="H67" t="s">
        <v>36</v>
      </c>
      <c r="I67" t="str">
        <f t="shared" ref="I67:I130" si="2">TRIM(B67&amp;" "&amp;C67)</f>
        <v>Thomas Jones</v>
      </c>
      <c r="J67" t="str">
        <f>VLOOKUP(D67,Lookup_Departments!$A$2:$B$7,2,FALSE)</f>
        <v>Marketing</v>
      </c>
      <c r="K67">
        <f t="shared" ref="K67:K130" ca="1" si="3">IF(H67="Active",DATEDIF(E67,TODAY(),"y"),"N/A")</f>
        <v>8</v>
      </c>
      <c r="L67" t="str">
        <f>IF(G67="","No Score",VLOOKUP(G67,Lookup_Performance!$A$2:$D$6,3,TRUE))</f>
        <v>Outstanding</v>
      </c>
      <c r="M67" s="6">
        <f>IF(G67="",0,F67*VLOOKUP(G67,Lookup_Performance!$A$2:$D$6,4,TRUE))</f>
        <v>6112.32</v>
      </c>
    </row>
    <row r="68" spans="1:13" x14ac:dyDescent="0.35">
      <c r="A68" t="s">
        <v>110</v>
      </c>
      <c r="B68" t="s">
        <v>34</v>
      </c>
      <c r="C68" t="s">
        <v>38</v>
      </c>
      <c r="D68" t="s">
        <v>35</v>
      </c>
      <c r="E68" s="3">
        <v>43159</v>
      </c>
      <c r="F68" s="8">
        <v>111240</v>
      </c>
      <c r="H68" t="s">
        <v>36</v>
      </c>
      <c r="I68" t="str">
        <f t="shared" si="2"/>
        <v>Michael Miller</v>
      </c>
      <c r="J68" t="str">
        <f>VLOOKUP(D68,Lookup_Departments!$A$2:$B$7,2,FALSE)</f>
        <v>Sales</v>
      </c>
      <c r="K68">
        <f t="shared" ca="1" si="3"/>
        <v>8</v>
      </c>
      <c r="L68" t="str">
        <f>IF(G68="","No Score",VLOOKUP(G68,Lookup_Performance!$A$2:$D$6,3,TRUE))</f>
        <v>No Score</v>
      </c>
      <c r="M68" s="6">
        <f>IF(G68="",0,F68*VLOOKUP(G68,Lookup_Performance!$A$2:$D$6,4,TRUE))</f>
        <v>0</v>
      </c>
    </row>
    <row r="69" spans="1:13" x14ac:dyDescent="0.35">
      <c r="A69" t="s">
        <v>111</v>
      </c>
      <c r="B69" t="s">
        <v>11</v>
      </c>
      <c r="C69" t="s">
        <v>15</v>
      </c>
      <c r="D69" t="s">
        <v>72</v>
      </c>
      <c r="E69" s="3">
        <v>43160</v>
      </c>
      <c r="F69" s="8">
        <v>51567</v>
      </c>
      <c r="G69">
        <v>87</v>
      </c>
      <c r="H69" t="s">
        <v>84</v>
      </c>
      <c r="I69" t="str">
        <f t="shared" si="2"/>
        <v>Richard Gonzalez</v>
      </c>
      <c r="J69" t="str">
        <f>VLOOKUP(D69,Lookup_Departments!$A$2:$B$7,2,FALSE)</f>
        <v>Human Resources</v>
      </c>
      <c r="K69" t="str">
        <f t="shared" ca="1" si="3"/>
        <v>N/A</v>
      </c>
      <c r="L69" t="str">
        <f>IF(G69="","No Score",VLOOKUP(G69,Lookup_Performance!$A$2:$D$6,3,TRUE))</f>
        <v>Exceeding</v>
      </c>
      <c r="M69" s="6">
        <f>IF(G69="",0,F69*VLOOKUP(G69,Lookup_Performance!$A$2:$D$6,4,TRUE))</f>
        <v>4125.3599999999997</v>
      </c>
    </row>
    <row r="70" spans="1:13" x14ac:dyDescent="0.35">
      <c r="A70" t="s">
        <v>112</v>
      </c>
      <c r="B70" t="s">
        <v>77</v>
      </c>
      <c r="C70" t="s">
        <v>42</v>
      </c>
      <c r="D70" t="s">
        <v>72</v>
      </c>
      <c r="E70" s="3">
        <v>43161</v>
      </c>
      <c r="G70">
        <v>36</v>
      </c>
      <c r="H70" t="s">
        <v>36</v>
      </c>
      <c r="I70" t="str">
        <f t="shared" si="2"/>
        <v>Melissa Williams</v>
      </c>
      <c r="J70" t="str">
        <f>VLOOKUP(D70,Lookup_Departments!$A$2:$B$7,2,FALSE)</f>
        <v>Human Resources</v>
      </c>
      <c r="K70">
        <f t="shared" ca="1" si="3"/>
        <v>8</v>
      </c>
      <c r="L70" t="str">
        <f>IF(G70="","No Score",VLOOKUP(G70,Lookup_Performance!$A$2:$D$6,3,TRUE))</f>
        <v>Needs Improvement</v>
      </c>
      <c r="M70" s="6">
        <f>IF(G70="",0,F70*VLOOKUP(G70,Lookup_Performance!$A$2:$D$6,4,TRUE))</f>
        <v>0</v>
      </c>
    </row>
    <row r="71" spans="1:13" x14ac:dyDescent="0.35">
      <c r="A71" t="s">
        <v>113</v>
      </c>
      <c r="B71" t="s">
        <v>45</v>
      </c>
      <c r="C71" t="s">
        <v>38</v>
      </c>
      <c r="D71" t="s">
        <v>72</v>
      </c>
      <c r="E71" s="3">
        <v>43162</v>
      </c>
      <c r="F71" s="8">
        <v>55270</v>
      </c>
      <c r="G71">
        <v>87</v>
      </c>
      <c r="H71" t="s">
        <v>36</v>
      </c>
      <c r="I71" t="str">
        <f t="shared" si="2"/>
        <v>Robert Miller</v>
      </c>
      <c r="J71" t="str">
        <f>VLOOKUP(D71,Lookup_Departments!$A$2:$B$7,2,FALSE)</f>
        <v>Human Resources</v>
      </c>
      <c r="K71">
        <f t="shared" ca="1" si="3"/>
        <v>8</v>
      </c>
      <c r="L71" t="str">
        <f>IF(G71="","No Score",VLOOKUP(G71,Lookup_Performance!$A$2:$D$6,3,TRUE))</f>
        <v>Exceeding</v>
      </c>
      <c r="M71" s="6">
        <f>IF(G71="",0,F71*VLOOKUP(G71,Lookup_Performance!$A$2:$D$6,4,TRUE))</f>
        <v>4421.6000000000004</v>
      </c>
    </row>
    <row r="72" spans="1:13" x14ac:dyDescent="0.35">
      <c r="A72" t="s">
        <v>114</v>
      </c>
      <c r="B72" t="s">
        <v>115</v>
      </c>
      <c r="C72" t="s">
        <v>97</v>
      </c>
      <c r="D72" t="s">
        <v>35</v>
      </c>
      <c r="E72" s="3">
        <v>43163</v>
      </c>
      <c r="F72" s="8">
        <v>65235</v>
      </c>
      <c r="G72">
        <v>97</v>
      </c>
      <c r="H72" t="s">
        <v>36</v>
      </c>
      <c r="I72" t="str">
        <f t="shared" si="2"/>
        <v>William Garcia</v>
      </c>
      <c r="J72" t="str">
        <f>VLOOKUP(D72,Lookup_Departments!$A$2:$B$7,2,FALSE)</f>
        <v>Sales</v>
      </c>
      <c r="K72">
        <f t="shared" ca="1" si="3"/>
        <v>8</v>
      </c>
      <c r="L72" t="str">
        <f>IF(G72="","No Score",VLOOKUP(G72,Lookup_Performance!$A$2:$D$6,3,TRUE))</f>
        <v>Outstanding</v>
      </c>
      <c r="M72" s="6">
        <f>IF(G72="",0,F72*VLOOKUP(G72,Lookup_Performance!$A$2:$D$6,4,TRUE))</f>
        <v>7828.2</v>
      </c>
    </row>
    <row r="73" spans="1:13" x14ac:dyDescent="0.35">
      <c r="A73" t="s">
        <v>116</v>
      </c>
      <c r="B73" t="s">
        <v>17</v>
      </c>
      <c r="C73" t="s">
        <v>15</v>
      </c>
      <c r="D73" t="s">
        <v>35</v>
      </c>
      <c r="E73" s="3">
        <v>43164</v>
      </c>
      <c r="G73">
        <v>72</v>
      </c>
      <c r="H73" t="s">
        <v>23</v>
      </c>
      <c r="I73" t="str">
        <f t="shared" si="2"/>
        <v>John Gonzalez</v>
      </c>
      <c r="J73" t="str">
        <f>VLOOKUP(D73,Lookup_Departments!$A$2:$B$7,2,FALSE)</f>
        <v>Sales</v>
      </c>
      <c r="K73" t="str">
        <f t="shared" ca="1" si="3"/>
        <v>N/A</v>
      </c>
      <c r="L73" t="str">
        <f>IF(G73="","No Score",VLOOKUP(G73,Lookup_Performance!$A$2:$D$6,3,TRUE))</f>
        <v>Achieving</v>
      </c>
      <c r="M73" s="6">
        <f>IF(G73="",0,F73*VLOOKUP(G73,Lookup_Performance!$A$2:$D$6,4,TRUE))</f>
        <v>0</v>
      </c>
    </row>
    <row r="74" spans="1:13" x14ac:dyDescent="0.35">
      <c r="A74" t="s">
        <v>117</v>
      </c>
      <c r="B74" t="s">
        <v>51</v>
      </c>
      <c r="C74" t="s">
        <v>15</v>
      </c>
      <c r="D74" t="s">
        <v>35</v>
      </c>
      <c r="E74" s="3">
        <v>43165</v>
      </c>
      <c r="G74">
        <v>65</v>
      </c>
      <c r="H74" t="s">
        <v>23</v>
      </c>
      <c r="I74" t="str">
        <f t="shared" si="2"/>
        <v>James Gonzalez</v>
      </c>
      <c r="J74" t="str">
        <f>VLOOKUP(D74,Lookup_Departments!$A$2:$B$7,2,FALSE)</f>
        <v>Sales</v>
      </c>
      <c r="K74" t="str">
        <f t="shared" ca="1" si="3"/>
        <v>N/A</v>
      </c>
      <c r="L74" t="str">
        <f>IF(G74="","No Score",VLOOKUP(G74,Lookup_Performance!$A$2:$D$6,3,TRUE))</f>
        <v>Developing</v>
      </c>
      <c r="M74" s="6">
        <f>IF(G74="",0,F74*VLOOKUP(G74,Lookup_Performance!$A$2:$D$6,4,TRUE))</f>
        <v>0</v>
      </c>
    </row>
    <row r="75" spans="1:13" x14ac:dyDescent="0.35">
      <c r="A75" t="s">
        <v>118</v>
      </c>
      <c r="B75" t="s">
        <v>41</v>
      </c>
      <c r="C75" t="s">
        <v>15</v>
      </c>
      <c r="D75" t="s">
        <v>35</v>
      </c>
      <c r="E75" s="3">
        <v>43166</v>
      </c>
      <c r="G75">
        <v>67</v>
      </c>
      <c r="H75" t="s">
        <v>36</v>
      </c>
      <c r="I75" t="str">
        <f t="shared" si="2"/>
        <v>Jane Gonzalez</v>
      </c>
      <c r="J75" t="str">
        <f>VLOOKUP(D75,Lookup_Departments!$A$2:$B$7,2,FALSE)</f>
        <v>Sales</v>
      </c>
      <c r="K75">
        <f t="shared" ca="1" si="3"/>
        <v>8</v>
      </c>
      <c r="L75" t="str">
        <f>IF(G75="","No Score",VLOOKUP(G75,Lookup_Performance!$A$2:$D$6,3,TRUE))</f>
        <v>Developing</v>
      </c>
      <c r="M75" s="6">
        <f>IF(G75="",0,F75*VLOOKUP(G75,Lookup_Performance!$A$2:$D$6,4,TRUE))</f>
        <v>0</v>
      </c>
    </row>
    <row r="76" spans="1:13" x14ac:dyDescent="0.35">
      <c r="A76" t="s">
        <v>119</v>
      </c>
      <c r="B76" t="s">
        <v>82</v>
      </c>
      <c r="C76" t="s">
        <v>28</v>
      </c>
      <c r="D76" t="s">
        <v>26</v>
      </c>
      <c r="E76" s="3">
        <v>43167</v>
      </c>
      <c r="F76" s="8">
        <v>48823</v>
      </c>
      <c r="G76">
        <v>34</v>
      </c>
      <c r="H76" t="s">
        <v>36</v>
      </c>
      <c r="I76" t="str">
        <f t="shared" si="2"/>
        <v>David Wilson</v>
      </c>
      <c r="J76" t="str">
        <f>VLOOKUP(D76,Lookup_Departments!$A$2:$B$7,2,FALSE)</f>
        <v>Operations</v>
      </c>
      <c r="K76">
        <f t="shared" ca="1" si="3"/>
        <v>8</v>
      </c>
      <c r="L76" t="str">
        <f>IF(G76="","No Score",VLOOKUP(G76,Lookup_Performance!$A$2:$D$6,3,TRUE))</f>
        <v>Needs Improvement</v>
      </c>
      <c r="M76" s="6">
        <f>IF(G76="",0,F76*VLOOKUP(G76,Lookup_Performance!$A$2:$D$6,4,TRUE))</f>
        <v>0</v>
      </c>
    </row>
    <row r="77" spans="1:13" x14ac:dyDescent="0.35">
      <c r="A77" t="s">
        <v>120</v>
      </c>
      <c r="B77" t="s">
        <v>41</v>
      </c>
      <c r="C77" t="s">
        <v>15</v>
      </c>
      <c r="D77" t="s">
        <v>19</v>
      </c>
      <c r="E77" s="3">
        <v>43168</v>
      </c>
      <c r="F77" s="8">
        <v>45196</v>
      </c>
      <c r="G77">
        <v>78</v>
      </c>
      <c r="H77" t="s">
        <v>23</v>
      </c>
      <c r="I77" t="str">
        <f t="shared" si="2"/>
        <v>Jane Gonzalez</v>
      </c>
      <c r="J77" t="str">
        <f>VLOOKUP(D77,Lookup_Departments!$A$2:$B$7,2,FALSE)</f>
        <v>Finance</v>
      </c>
      <c r="K77" t="str">
        <f t="shared" ca="1" si="3"/>
        <v>N/A</v>
      </c>
      <c r="L77" t="str">
        <f>IF(G77="","No Score",VLOOKUP(G77,Lookup_Performance!$A$2:$D$6,3,TRUE))</f>
        <v>Achieving</v>
      </c>
      <c r="M77" s="6">
        <f>IF(G77="",0,F77*VLOOKUP(G77,Lookup_Performance!$A$2:$D$6,4,TRUE))</f>
        <v>2259.8000000000002</v>
      </c>
    </row>
    <row r="78" spans="1:13" x14ac:dyDescent="0.35">
      <c r="A78" t="s">
        <v>121</v>
      </c>
      <c r="B78" t="s">
        <v>41</v>
      </c>
      <c r="C78" t="s">
        <v>32</v>
      </c>
      <c r="D78" t="s">
        <v>9</v>
      </c>
      <c r="E78" s="3">
        <v>43169</v>
      </c>
      <c r="F78" s="8">
        <v>86246</v>
      </c>
      <c r="G78">
        <v>61</v>
      </c>
      <c r="H78" t="s">
        <v>36</v>
      </c>
      <c r="I78" t="str">
        <f t="shared" si="2"/>
        <v>Jane Rodriguez</v>
      </c>
      <c r="J78" t="str">
        <f>VLOOKUP(D78,Lookup_Departments!$A$2:$B$7,2,FALSE)</f>
        <v>Information Technology</v>
      </c>
      <c r="K78">
        <f t="shared" ca="1" si="3"/>
        <v>8</v>
      </c>
      <c r="L78" t="str">
        <f>IF(G78="","No Score",VLOOKUP(G78,Lookup_Performance!$A$2:$D$6,3,TRUE))</f>
        <v>Developing</v>
      </c>
      <c r="M78" s="6">
        <f>IF(G78="",0,F78*VLOOKUP(G78,Lookup_Performance!$A$2:$D$6,4,TRUE))</f>
        <v>1724.92</v>
      </c>
    </row>
    <row r="79" spans="1:13" x14ac:dyDescent="0.35">
      <c r="A79" t="s">
        <v>122</v>
      </c>
      <c r="B79" t="s">
        <v>7</v>
      </c>
      <c r="C79" t="s">
        <v>38</v>
      </c>
      <c r="D79" t="s">
        <v>35</v>
      </c>
      <c r="E79" s="3">
        <v>43170</v>
      </c>
      <c r="F79" s="8">
        <v>70359</v>
      </c>
      <c r="G79">
        <v>74</v>
      </c>
      <c r="H79" t="s">
        <v>23</v>
      </c>
      <c r="I79" t="str">
        <f t="shared" si="2"/>
        <v>Emily Miller</v>
      </c>
      <c r="J79" t="str">
        <f>VLOOKUP(D79,Lookup_Departments!$A$2:$B$7,2,FALSE)</f>
        <v>Sales</v>
      </c>
      <c r="K79" t="str">
        <f t="shared" ca="1" si="3"/>
        <v>N/A</v>
      </c>
      <c r="L79" t="str">
        <f>IF(G79="","No Score",VLOOKUP(G79,Lookup_Performance!$A$2:$D$6,3,TRUE))</f>
        <v>Achieving</v>
      </c>
      <c r="M79" s="6">
        <f>IF(G79="",0,F79*VLOOKUP(G79,Lookup_Performance!$A$2:$D$6,4,TRUE))</f>
        <v>3517.9500000000003</v>
      </c>
    </row>
    <row r="80" spans="1:13" x14ac:dyDescent="0.35">
      <c r="A80" t="s">
        <v>123</v>
      </c>
      <c r="B80" t="s">
        <v>70</v>
      </c>
      <c r="C80" t="s">
        <v>38</v>
      </c>
      <c r="D80" t="s">
        <v>13</v>
      </c>
      <c r="E80" s="3">
        <v>43171</v>
      </c>
      <c r="G80">
        <v>94</v>
      </c>
      <c r="H80" t="s">
        <v>36</v>
      </c>
      <c r="I80" t="str">
        <f t="shared" si="2"/>
        <v>Sarah Miller</v>
      </c>
      <c r="J80" t="str">
        <f>VLOOKUP(D80,Lookup_Departments!$A$2:$B$7,2,FALSE)</f>
        <v>Marketing</v>
      </c>
      <c r="K80">
        <f t="shared" ca="1" si="3"/>
        <v>8</v>
      </c>
      <c r="L80" t="str">
        <f>IF(G80="","No Score",VLOOKUP(G80,Lookup_Performance!$A$2:$D$6,3,TRUE))</f>
        <v>Exceeding</v>
      </c>
      <c r="M80" s="6">
        <f>IF(G80="",0,F80*VLOOKUP(G80,Lookup_Performance!$A$2:$D$6,4,TRUE))</f>
        <v>0</v>
      </c>
    </row>
    <row r="81" spans="1:13" x14ac:dyDescent="0.35">
      <c r="A81" t="s">
        <v>124</v>
      </c>
      <c r="B81" t="s">
        <v>30</v>
      </c>
      <c r="C81" t="s">
        <v>97</v>
      </c>
      <c r="D81" t="s">
        <v>26</v>
      </c>
      <c r="E81" s="3">
        <v>43172</v>
      </c>
      <c r="F81" s="8">
        <v>86480</v>
      </c>
      <c r="H81" t="s">
        <v>36</v>
      </c>
      <c r="I81" t="str">
        <f t="shared" si="2"/>
        <v>Jessica Garcia</v>
      </c>
      <c r="J81" t="str">
        <f>VLOOKUP(D81,Lookup_Departments!$A$2:$B$7,2,FALSE)</f>
        <v>Operations</v>
      </c>
      <c r="K81">
        <f t="shared" ca="1" si="3"/>
        <v>8</v>
      </c>
      <c r="L81" t="str">
        <f>IF(G81="","No Score",VLOOKUP(G81,Lookup_Performance!$A$2:$D$6,3,TRUE))</f>
        <v>No Score</v>
      </c>
      <c r="M81" s="6">
        <f>IF(G81="",0,F81*VLOOKUP(G81,Lookup_Performance!$A$2:$D$6,4,TRUE))</f>
        <v>0</v>
      </c>
    </row>
    <row r="82" spans="1:13" x14ac:dyDescent="0.35">
      <c r="A82" t="s">
        <v>125</v>
      </c>
      <c r="B82" t="s">
        <v>11</v>
      </c>
      <c r="C82" t="s">
        <v>22</v>
      </c>
      <c r="D82" t="s">
        <v>72</v>
      </c>
      <c r="E82" s="3">
        <v>43173</v>
      </c>
      <c r="F82" s="8">
        <v>47694</v>
      </c>
      <c r="G82">
        <v>75</v>
      </c>
      <c r="H82" t="s">
        <v>36</v>
      </c>
      <c r="I82" t="str">
        <f t="shared" si="2"/>
        <v>Richard Smith</v>
      </c>
      <c r="J82" t="str">
        <f>VLOOKUP(D82,Lookup_Departments!$A$2:$B$7,2,FALSE)</f>
        <v>Human Resources</v>
      </c>
      <c r="K82">
        <f t="shared" ca="1" si="3"/>
        <v>8</v>
      </c>
      <c r="L82" t="str">
        <f>IF(G82="","No Score",VLOOKUP(G82,Lookup_Performance!$A$2:$D$6,3,TRUE))</f>
        <v>Achieving</v>
      </c>
      <c r="M82" s="6">
        <f>IF(G82="",0,F82*VLOOKUP(G82,Lookup_Performance!$A$2:$D$6,4,TRUE))</f>
        <v>2384.7000000000003</v>
      </c>
    </row>
    <row r="83" spans="1:13" x14ac:dyDescent="0.35">
      <c r="A83" t="s">
        <v>126</v>
      </c>
      <c r="B83" t="s">
        <v>77</v>
      </c>
      <c r="C83" t="s">
        <v>28</v>
      </c>
      <c r="D83" t="s">
        <v>9</v>
      </c>
      <c r="E83" s="3">
        <v>43174</v>
      </c>
      <c r="F83" s="8">
        <v>83724</v>
      </c>
      <c r="G83">
        <v>81</v>
      </c>
      <c r="H83" t="s">
        <v>84</v>
      </c>
      <c r="I83" t="str">
        <f t="shared" si="2"/>
        <v>Melissa Wilson</v>
      </c>
      <c r="J83" t="str">
        <f>VLOOKUP(D83,Lookup_Departments!$A$2:$B$7,2,FALSE)</f>
        <v>Information Technology</v>
      </c>
      <c r="K83" t="str">
        <f t="shared" ca="1" si="3"/>
        <v>N/A</v>
      </c>
      <c r="L83" t="str">
        <f>IF(G83="","No Score",VLOOKUP(G83,Lookup_Performance!$A$2:$D$6,3,TRUE))</f>
        <v>Achieving</v>
      </c>
      <c r="M83" s="6">
        <f>IF(G83="",0,F83*VLOOKUP(G83,Lookup_Performance!$A$2:$D$6,4,TRUE))</f>
        <v>4186.2</v>
      </c>
    </row>
    <row r="84" spans="1:13" x14ac:dyDescent="0.35">
      <c r="A84" t="s">
        <v>127</v>
      </c>
      <c r="B84" t="s">
        <v>21</v>
      </c>
      <c r="C84" t="s">
        <v>42</v>
      </c>
      <c r="D84" t="s">
        <v>19</v>
      </c>
      <c r="E84" s="3">
        <v>43175</v>
      </c>
      <c r="F84" s="8">
        <v>98299</v>
      </c>
      <c r="G84">
        <v>61</v>
      </c>
      <c r="H84" t="s">
        <v>36</v>
      </c>
      <c r="I84" t="str">
        <f t="shared" si="2"/>
        <v>Thomas Williams</v>
      </c>
      <c r="J84" t="str">
        <f>VLOOKUP(D84,Lookup_Departments!$A$2:$B$7,2,FALSE)</f>
        <v>Finance</v>
      </c>
      <c r="K84">
        <f t="shared" ca="1" si="3"/>
        <v>8</v>
      </c>
      <c r="L84" t="str">
        <f>IF(G84="","No Score",VLOOKUP(G84,Lookup_Performance!$A$2:$D$6,3,TRUE))</f>
        <v>Developing</v>
      </c>
      <c r="M84" s="6">
        <f>IF(G84="",0,F84*VLOOKUP(G84,Lookup_Performance!$A$2:$D$6,4,TRUE))</f>
        <v>1965.98</v>
      </c>
    </row>
    <row r="85" spans="1:13" x14ac:dyDescent="0.35">
      <c r="A85" t="s">
        <v>128</v>
      </c>
      <c r="B85" t="s">
        <v>82</v>
      </c>
      <c r="C85" t="s">
        <v>42</v>
      </c>
      <c r="D85" t="s">
        <v>19</v>
      </c>
      <c r="E85" s="3">
        <v>43176</v>
      </c>
      <c r="G85">
        <v>68</v>
      </c>
      <c r="H85" t="s">
        <v>36</v>
      </c>
      <c r="I85" t="str">
        <f t="shared" si="2"/>
        <v>David Williams</v>
      </c>
      <c r="J85" t="str">
        <f>VLOOKUP(D85,Lookup_Departments!$A$2:$B$7,2,FALSE)</f>
        <v>Finance</v>
      </c>
      <c r="K85">
        <f t="shared" ca="1" si="3"/>
        <v>8</v>
      </c>
      <c r="L85" t="str">
        <f>IF(G85="","No Score",VLOOKUP(G85,Lookup_Performance!$A$2:$D$6,3,TRUE))</f>
        <v>Developing</v>
      </c>
      <c r="M85" s="6">
        <f>IF(G85="",0,F85*VLOOKUP(G85,Lookup_Performance!$A$2:$D$6,4,TRUE))</f>
        <v>0</v>
      </c>
    </row>
    <row r="86" spans="1:13" x14ac:dyDescent="0.35">
      <c r="A86" t="s">
        <v>129</v>
      </c>
      <c r="B86" t="s">
        <v>17</v>
      </c>
      <c r="C86" t="s">
        <v>25</v>
      </c>
      <c r="D86" t="s">
        <v>9</v>
      </c>
      <c r="E86" s="3">
        <v>43177</v>
      </c>
      <c r="F86" s="8">
        <v>52287</v>
      </c>
      <c r="G86">
        <v>70</v>
      </c>
      <c r="H86" t="s">
        <v>36</v>
      </c>
      <c r="I86" t="str">
        <f t="shared" si="2"/>
        <v>John Johnson</v>
      </c>
      <c r="J86" t="str">
        <f>VLOOKUP(D86,Lookup_Departments!$A$2:$B$7,2,FALSE)</f>
        <v>Information Technology</v>
      </c>
      <c r="K86">
        <f t="shared" ca="1" si="3"/>
        <v>8</v>
      </c>
      <c r="L86" t="str">
        <f>IF(G86="","No Score",VLOOKUP(G86,Lookup_Performance!$A$2:$D$6,3,TRUE))</f>
        <v>Achieving</v>
      </c>
      <c r="M86" s="6">
        <f>IF(G86="",0,F86*VLOOKUP(G86,Lookup_Performance!$A$2:$D$6,4,TRUE))</f>
        <v>2614.3500000000004</v>
      </c>
    </row>
    <row r="87" spans="1:13" x14ac:dyDescent="0.35">
      <c r="A87" t="s">
        <v>130</v>
      </c>
      <c r="B87" t="s">
        <v>11</v>
      </c>
      <c r="C87" t="s">
        <v>15</v>
      </c>
      <c r="D87" t="s">
        <v>9</v>
      </c>
      <c r="E87" s="3">
        <v>43178</v>
      </c>
      <c r="F87" s="8">
        <v>82633</v>
      </c>
      <c r="G87">
        <v>98</v>
      </c>
      <c r="H87" t="s">
        <v>36</v>
      </c>
      <c r="I87" t="str">
        <f t="shared" si="2"/>
        <v>Richard Gonzalez</v>
      </c>
      <c r="J87" t="str">
        <f>VLOOKUP(D87,Lookup_Departments!$A$2:$B$7,2,FALSE)</f>
        <v>Information Technology</v>
      </c>
      <c r="K87">
        <f t="shared" ca="1" si="3"/>
        <v>8</v>
      </c>
      <c r="L87" t="str">
        <f>IF(G87="","No Score",VLOOKUP(G87,Lookup_Performance!$A$2:$D$6,3,TRUE))</f>
        <v>Outstanding</v>
      </c>
      <c r="M87" s="6">
        <f>IF(G87="",0,F87*VLOOKUP(G87,Lookup_Performance!$A$2:$D$6,4,TRUE))</f>
        <v>9915.9599999999991</v>
      </c>
    </row>
    <row r="88" spans="1:13" x14ac:dyDescent="0.35">
      <c r="A88" t="s">
        <v>131</v>
      </c>
      <c r="B88" t="s">
        <v>77</v>
      </c>
      <c r="C88" t="s">
        <v>99</v>
      </c>
      <c r="D88" t="s">
        <v>26</v>
      </c>
      <c r="E88" s="3">
        <v>43179</v>
      </c>
      <c r="F88" s="8">
        <v>46508</v>
      </c>
      <c r="G88">
        <v>34</v>
      </c>
      <c r="H88" t="s">
        <v>36</v>
      </c>
      <c r="I88" t="str">
        <f t="shared" si="2"/>
        <v>Melissa Anderson</v>
      </c>
      <c r="J88" t="str">
        <f>VLOOKUP(D88,Lookup_Departments!$A$2:$B$7,2,FALSE)</f>
        <v>Operations</v>
      </c>
      <c r="K88">
        <f t="shared" ca="1" si="3"/>
        <v>8</v>
      </c>
      <c r="L88" t="str">
        <f>IF(G88="","No Score",VLOOKUP(G88,Lookup_Performance!$A$2:$D$6,3,TRUE))</f>
        <v>Needs Improvement</v>
      </c>
      <c r="M88" s="6">
        <f>IF(G88="",0,F88*VLOOKUP(G88,Lookup_Performance!$A$2:$D$6,4,TRUE))</f>
        <v>0</v>
      </c>
    </row>
    <row r="89" spans="1:13" x14ac:dyDescent="0.35">
      <c r="A89" t="s">
        <v>132</v>
      </c>
      <c r="B89" t="s">
        <v>7</v>
      </c>
      <c r="C89" t="s">
        <v>15</v>
      </c>
      <c r="D89" t="s">
        <v>72</v>
      </c>
      <c r="E89" s="3">
        <v>43180</v>
      </c>
      <c r="F89" s="8">
        <v>86232</v>
      </c>
      <c r="G89">
        <v>93</v>
      </c>
      <c r="H89" t="s">
        <v>36</v>
      </c>
      <c r="I89" t="str">
        <f t="shared" si="2"/>
        <v>Emily Gonzalez</v>
      </c>
      <c r="J89" t="str">
        <f>VLOOKUP(D89,Lookup_Departments!$A$2:$B$7,2,FALSE)</f>
        <v>Human Resources</v>
      </c>
      <c r="K89">
        <f t="shared" ca="1" si="3"/>
        <v>8</v>
      </c>
      <c r="L89" t="str">
        <f>IF(G89="","No Score",VLOOKUP(G89,Lookup_Performance!$A$2:$D$6,3,TRUE))</f>
        <v>Exceeding</v>
      </c>
      <c r="M89" s="6">
        <f>IF(G89="",0,F89*VLOOKUP(G89,Lookup_Performance!$A$2:$D$6,4,TRUE))</f>
        <v>6898.56</v>
      </c>
    </row>
    <row r="90" spans="1:13" x14ac:dyDescent="0.35">
      <c r="A90" t="s">
        <v>133</v>
      </c>
      <c r="B90" t="s">
        <v>41</v>
      </c>
      <c r="C90" t="s">
        <v>49</v>
      </c>
      <c r="D90" t="s">
        <v>9</v>
      </c>
      <c r="E90" s="3">
        <v>43181</v>
      </c>
      <c r="F90" s="8">
        <v>77545</v>
      </c>
      <c r="G90">
        <v>48</v>
      </c>
      <c r="H90" t="s">
        <v>36</v>
      </c>
      <c r="I90" t="str">
        <f t="shared" si="2"/>
        <v>Jane Davis</v>
      </c>
      <c r="J90" t="str">
        <f>VLOOKUP(D90,Lookup_Departments!$A$2:$B$7,2,FALSE)</f>
        <v>Information Technology</v>
      </c>
      <c r="K90">
        <f t="shared" ca="1" si="3"/>
        <v>8</v>
      </c>
      <c r="L90" t="str">
        <f>IF(G90="","No Score",VLOOKUP(G90,Lookup_Performance!$A$2:$D$6,3,TRUE))</f>
        <v>Needs Improvement</v>
      </c>
      <c r="M90" s="6">
        <f>IF(G90="",0,F90*VLOOKUP(G90,Lookup_Performance!$A$2:$D$6,4,TRUE))</f>
        <v>0</v>
      </c>
    </row>
    <row r="91" spans="1:13" x14ac:dyDescent="0.35">
      <c r="A91" t="s">
        <v>134</v>
      </c>
      <c r="B91" t="s">
        <v>115</v>
      </c>
      <c r="C91" t="s">
        <v>15</v>
      </c>
      <c r="D91" t="s">
        <v>26</v>
      </c>
      <c r="E91" s="3">
        <v>43182</v>
      </c>
      <c r="F91" s="8">
        <v>68683</v>
      </c>
      <c r="G91">
        <v>90</v>
      </c>
      <c r="H91" t="s">
        <v>36</v>
      </c>
      <c r="I91" t="str">
        <f t="shared" si="2"/>
        <v>William Gonzalez</v>
      </c>
      <c r="J91" t="str">
        <f>VLOOKUP(D91,Lookup_Departments!$A$2:$B$7,2,FALSE)</f>
        <v>Operations</v>
      </c>
      <c r="K91">
        <f t="shared" ca="1" si="3"/>
        <v>8</v>
      </c>
      <c r="L91" t="str">
        <f>IF(G91="","No Score",VLOOKUP(G91,Lookup_Performance!$A$2:$D$6,3,TRUE))</f>
        <v>Exceeding</v>
      </c>
      <c r="M91" s="6">
        <f>IF(G91="",0,F91*VLOOKUP(G91,Lookup_Performance!$A$2:$D$6,4,TRUE))</f>
        <v>5494.64</v>
      </c>
    </row>
    <row r="92" spans="1:13" x14ac:dyDescent="0.35">
      <c r="A92" t="s">
        <v>135</v>
      </c>
      <c r="B92" t="s">
        <v>21</v>
      </c>
      <c r="C92" t="s">
        <v>46</v>
      </c>
      <c r="D92" t="s">
        <v>19</v>
      </c>
      <c r="E92" s="3">
        <v>43183</v>
      </c>
      <c r="F92" s="8">
        <v>83932</v>
      </c>
      <c r="G92">
        <v>57</v>
      </c>
      <c r="H92" t="s">
        <v>23</v>
      </c>
      <c r="I92" t="str">
        <f t="shared" si="2"/>
        <v>Thomas Jones</v>
      </c>
      <c r="J92" t="str">
        <f>VLOOKUP(D92,Lookup_Departments!$A$2:$B$7,2,FALSE)</f>
        <v>Finance</v>
      </c>
      <c r="K92" t="str">
        <f t="shared" ca="1" si="3"/>
        <v>N/A</v>
      </c>
      <c r="L92" t="str">
        <f>IF(G92="","No Score",VLOOKUP(G92,Lookup_Performance!$A$2:$D$6,3,TRUE))</f>
        <v>Developing</v>
      </c>
      <c r="M92" s="6">
        <f>IF(G92="",0,F92*VLOOKUP(G92,Lookup_Performance!$A$2:$D$6,4,TRUE))</f>
        <v>1678.64</v>
      </c>
    </row>
    <row r="93" spans="1:13" x14ac:dyDescent="0.35">
      <c r="A93" t="s">
        <v>136</v>
      </c>
      <c r="B93" t="s">
        <v>30</v>
      </c>
      <c r="C93" t="s">
        <v>99</v>
      </c>
      <c r="D93" t="s">
        <v>72</v>
      </c>
      <c r="E93" s="3">
        <v>43184</v>
      </c>
      <c r="F93" s="8">
        <v>56073</v>
      </c>
      <c r="G93">
        <v>79</v>
      </c>
      <c r="H93" t="s">
        <v>36</v>
      </c>
      <c r="I93" t="str">
        <f t="shared" si="2"/>
        <v>Jessica Anderson</v>
      </c>
      <c r="J93" t="str">
        <f>VLOOKUP(D93,Lookup_Departments!$A$2:$B$7,2,FALSE)</f>
        <v>Human Resources</v>
      </c>
      <c r="K93">
        <f t="shared" ca="1" si="3"/>
        <v>8</v>
      </c>
      <c r="L93" t="str">
        <f>IF(G93="","No Score",VLOOKUP(G93,Lookup_Performance!$A$2:$D$6,3,TRUE))</f>
        <v>Achieving</v>
      </c>
      <c r="M93" s="6">
        <f>IF(G93="",0,F93*VLOOKUP(G93,Lookup_Performance!$A$2:$D$6,4,TRUE))</f>
        <v>2803.65</v>
      </c>
    </row>
    <row r="94" spans="1:13" x14ac:dyDescent="0.35">
      <c r="A94" t="s">
        <v>137</v>
      </c>
      <c r="B94" t="s">
        <v>77</v>
      </c>
      <c r="C94" t="s">
        <v>25</v>
      </c>
      <c r="D94" t="s">
        <v>9</v>
      </c>
      <c r="E94" s="3">
        <v>43185</v>
      </c>
      <c r="F94" s="8">
        <v>88056</v>
      </c>
      <c r="G94">
        <v>66</v>
      </c>
      <c r="H94" t="s">
        <v>36</v>
      </c>
      <c r="I94" t="str">
        <f t="shared" si="2"/>
        <v>Melissa Johnson</v>
      </c>
      <c r="J94" t="str">
        <f>VLOOKUP(D94,Lookup_Departments!$A$2:$B$7,2,FALSE)</f>
        <v>Information Technology</v>
      </c>
      <c r="K94">
        <f t="shared" ca="1" si="3"/>
        <v>8</v>
      </c>
      <c r="L94" t="str">
        <f>IF(G94="","No Score",VLOOKUP(G94,Lookup_Performance!$A$2:$D$6,3,TRUE))</f>
        <v>Developing</v>
      </c>
      <c r="M94" s="6">
        <f>IF(G94="",0,F94*VLOOKUP(G94,Lookup_Performance!$A$2:$D$6,4,TRUE))</f>
        <v>1761.1200000000001</v>
      </c>
    </row>
    <row r="95" spans="1:13" x14ac:dyDescent="0.35">
      <c r="A95" t="s">
        <v>138</v>
      </c>
      <c r="B95" t="s">
        <v>21</v>
      </c>
      <c r="C95" t="s">
        <v>38</v>
      </c>
      <c r="D95" t="s">
        <v>26</v>
      </c>
      <c r="E95" s="3">
        <v>43186</v>
      </c>
      <c r="F95" s="8">
        <v>67414</v>
      </c>
      <c r="G95">
        <v>84</v>
      </c>
      <c r="H95" t="s">
        <v>23</v>
      </c>
      <c r="I95" t="str">
        <f t="shared" si="2"/>
        <v>Thomas Miller</v>
      </c>
      <c r="J95" t="str">
        <f>VLOOKUP(D95,Lookup_Departments!$A$2:$B$7,2,FALSE)</f>
        <v>Operations</v>
      </c>
      <c r="K95" t="str">
        <f t="shared" ca="1" si="3"/>
        <v>N/A</v>
      </c>
      <c r="L95" t="str">
        <f>IF(G95="","No Score",VLOOKUP(G95,Lookup_Performance!$A$2:$D$6,3,TRUE))</f>
        <v>Achieving</v>
      </c>
      <c r="M95" s="6">
        <f>IF(G95="",0,F95*VLOOKUP(G95,Lookup_Performance!$A$2:$D$6,4,TRUE))</f>
        <v>3370.7000000000003</v>
      </c>
    </row>
    <row r="96" spans="1:13" x14ac:dyDescent="0.35">
      <c r="A96" t="s">
        <v>139</v>
      </c>
      <c r="B96" t="s">
        <v>115</v>
      </c>
      <c r="C96" t="s">
        <v>15</v>
      </c>
      <c r="D96" t="s">
        <v>35</v>
      </c>
      <c r="E96" s="3">
        <v>43187</v>
      </c>
      <c r="F96" s="8">
        <v>115288</v>
      </c>
      <c r="G96">
        <v>61</v>
      </c>
      <c r="H96" t="s">
        <v>36</v>
      </c>
      <c r="I96" t="str">
        <f t="shared" si="2"/>
        <v>William Gonzalez</v>
      </c>
      <c r="J96" t="str">
        <f>VLOOKUP(D96,Lookup_Departments!$A$2:$B$7,2,FALSE)</f>
        <v>Sales</v>
      </c>
      <c r="K96">
        <f t="shared" ca="1" si="3"/>
        <v>8</v>
      </c>
      <c r="L96" t="str">
        <f>IF(G96="","No Score",VLOOKUP(G96,Lookup_Performance!$A$2:$D$6,3,TRUE))</f>
        <v>Developing</v>
      </c>
      <c r="M96" s="6">
        <f>IF(G96="",0,F96*VLOOKUP(G96,Lookup_Performance!$A$2:$D$6,4,TRUE))</f>
        <v>2305.7600000000002</v>
      </c>
    </row>
    <row r="97" spans="1:13" x14ac:dyDescent="0.35">
      <c r="A97" t="s">
        <v>140</v>
      </c>
      <c r="C97" t="s">
        <v>22</v>
      </c>
      <c r="D97" t="s">
        <v>35</v>
      </c>
      <c r="E97" s="3">
        <v>43188</v>
      </c>
      <c r="F97" s="8">
        <v>80140</v>
      </c>
      <c r="G97">
        <v>58</v>
      </c>
      <c r="H97" t="s">
        <v>36</v>
      </c>
      <c r="I97" t="str">
        <f t="shared" si="2"/>
        <v>Smith</v>
      </c>
      <c r="J97" t="str">
        <f>VLOOKUP(D97,Lookup_Departments!$A$2:$B$7,2,FALSE)</f>
        <v>Sales</v>
      </c>
      <c r="K97">
        <f t="shared" ca="1" si="3"/>
        <v>8</v>
      </c>
      <c r="L97" t="str">
        <f>IF(G97="","No Score",VLOOKUP(G97,Lookup_Performance!$A$2:$D$6,3,TRUE))</f>
        <v>Developing</v>
      </c>
      <c r="M97" s="6">
        <f>IF(G97="",0,F97*VLOOKUP(G97,Lookup_Performance!$A$2:$D$6,4,TRUE))</f>
        <v>1602.8</v>
      </c>
    </row>
    <row r="98" spans="1:13" x14ac:dyDescent="0.35">
      <c r="A98" t="s">
        <v>141</v>
      </c>
      <c r="B98" t="s">
        <v>17</v>
      </c>
      <c r="C98" t="s">
        <v>25</v>
      </c>
      <c r="D98" t="s">
        <v>9</v>
      </c>
      <c r="E98" s="3">
        <v>43189</v>
      </c>
      <c r="F98" s="8">
        <v>73087</v>
      </c>
      <c r="G98">
        <v>69</v>
      </c>
      <c r="H98" t="s">
        <v>36</v>
      </c>
      <c r="I98" t="str">
        <f t="shared" si="2"/>
        <v>John Johnson</v>
      </c>
      <c r="J98" t="str">
        <f>VLOOKUP(D98,Lookup_Departments!$A$2:$B$7,2,FALSE)</f>
        <v>Information Technology</v>
      </c>
      <c r="K98">
        <f t="shared" ca="1" si="3"/>
        <v>8</v>
      </c>
      <c r="L98" t="str">
        <f>IF(G98="","No Score",VLOOKUP(G98,Lookup_Performance!$A$2:$D$6,3,TRUE))</f>
        <v>Developing</v>
      </c>
      <c r="M98" s="6">
        <f>IF(G98="",0,F98*VLOOKUP(G98,Lookup_Performance!$A$2:$D$6,4,TRUE))</f>
        <v>1461.74</v>
      </c>
    </row>
    <row r="99" spans="1:13" x14ac:dyDescent="0.35">
      <c r="A99" t="s">
        <v>142</v>
      </c>
      <c r="B99" t="s">
        <v>41</v>
      </c>
      <c r="C99" t="s">
        <v>25</v>
      </c>
      <c r="D99" t="s">
        <v>35</v>
      </c>
      <c r="E99" s="3">
        <v>43190</v>
      </c>
      <c r="F99" s="8">
        <v>95292</v>
      </c>
      <c r="G99">
        <v>34</v>
      </c>
      <c r="H99" t="s">
        <v>36</v>
      </c>
      <c r="I99" t="str">
        <f t="shared" si="2"/>
        <v>Jane Johnson</v>
      </c>
      <c r="J99" t="str">
        <f>VLOOKUP(D99,Lookup_Departments!$A$2:$B$7,2,FALSE)</f>
        <v>Sales</v>
      </c>
      <c r="K99">
        <f t="shared" ca="1" si="3"/>
        <v>8</v>
      </c>
      <c r="L99" t="str">
        <f>IF(G99="","No Score",VLOOKUP(G99,Lookup_Performance!$A$2:$D$6,3,TRUE))</f>
        <v>Needs Improvement</v>
      </c>
      <c r="M99" s="6">
        <f>IF(G99="",0,F99*VLOOKUP(G99,Lookup_Performance!$A$2:$D$6,4,TRUE))</f>
        <v>0</v>
      </c>
    </row>
    <row r="100" spans="1:13" x14ac:dyDescent="0.35">
      <c r="A100" t="s">
        <v>143</v>
      </c>
      <c r="B100" t="s">
        <v>17</v>
      </c>
      <c r="C100" t="s">
        <v>46</v>
      </c>
      <c r="D100" t="s">
        <v>9</v>
      </c>
      <c r="E100" s="3">
        <v>43191</v>
      </c>
      <c r="G100">
        <v>33</v>
      </c>
      <c r="H100" t="s">
        <v>36</v>
      </c>
      <c r="I100" t="str">
        <f t="shared" si="2"/>
        <v>John Jones</v>
      </c>
      <c r="J100" t="str">
        <f>VLOOKUP(D100,Lookup_Departments!$A$2:$B$7,2,FALSE)</f>
        <v>Information Technology</v>
      </c>
      <c r="K100">
        <f t="shared" ca="1" si="3"/>
        <v>8</v>
      </c>
      <c r="L100" t="str">
        <f>IF(G100="","No Score",VLOOKUP(G100,Lookup_Performance!$A$2:$D$6,3,TRUE))</f>
        <v>Needs Improvement</v>
      </c>
      <c r="M100" s="6">
        <f>IF(G100="",0,F100*VLOOKUP(G100,Lookup_Performance!$A$2:$D$6,4,TRUE))</f>
        <v>0</v>
      </c>
    </row>
    <row r="101" spans="1:13" x14ac:dyDescent="0.35">
      <c r="A101" t="s">
        <v>144</v>
      </c>
      <c r="B101" t="s">
        <v>41</v>
      </c>
      <c r="C101" t="s">
        <v>54</v>
      </c>
      <c r="D101" t="s">
        <v>13</v>
      </c>
      <c r="E101" s="3">
        <v>43192</v>
      </c>
      <c r="F101" s="8">
        <v>101750</v>
      </c>
      <c r="G101">
        <v>84</v>
      </c>
      <c r="H101" t="s">
        <v>23</v>
      </c>
      <c r="I101" t="str">
        <f t="shared" si="2"/>
        <v>Jane Lopez</v>
      </c>
      <c r="J101" t="str">
        <f>VLOOKUP(D101,Lookup_Departments!$A$2:$B$7,2,FALSE)</f>
        <v>Marketing</v>
      </c>
      <c r="K101" t="str">
        <f t="shared" ca="1" si="3"/>
        <v>N/A</v>
      </c>
      <c r="L101" t="str">
        <f>IF(G101="","No Score",VLOOKUP(G101,Lookup_Performance!$A$2:$D$6,3,TRUE))</f>
        <v>Achieving</v>
      </c>
      <c r="M101" s="6">
        <f>IF(G101="",0,F101*VLOOKUP(G101,Lookup_Performance!$A$2:$D$6,4,TRUE))</f>
        <v>5087.5</v>
      </c>
    </row>
    <row r="102" spans="1:13" x14ac:dyDescent="0.35">
      <c r="A102" t="s">
        <v>145</v>
      </c>
      <c r="B102" t="s">
        <v>77</v>
      </c>
      <c r="C102" t="s">
        <v>15</v>
      </c>
      <c r="D102" t="s">
        <v>13</v>
      </c>
      <c r="E102" s="3">
        <v>43193</v>
      </c>
      <c r="F102" s="8">
        <v>82992</v>
      </c>
      <c r="G102">
        <v>79</v>
      </c>
      <c r="H102" t="s">
        <v>36</v>
      </c>
      <c r="I102" t="str">
        <f t="shared" si="2"/>
        <v>Melissa Gonzalez</v>
      </c>
      <c r="J102" t="str">
        <f>VLOOKUP(D102,Lookup_Departments!$A$2:$B$7,2,FALSE)</f>
        <v>Marketing</v>
      </c>
      <c r="K102">
        <f t="shared" ca="1" si="3"/>
        <v>8</v>
      </c>
      <c r="L102" t="str">
        <f>IF(G102="","No Score",VLOOKUP(G102,Lookup_Performance!$A$2:$D$6,3,TRUE))</f>
        <v>Achieving</v>
      </c>
      <c r="M102" s="6">
        <f>IF(G102="",0,F102*VLOOKUP(G102,Lookup_Performance!$A$2:$D$6,4,TRUE))</f>
        <v>4149.6000000000004</v>
      </c>
    </row>
    <row r="103" spans="1:13" x14ac:dyDescent="0.35">
      <c r="A103" t="s">
        <v>146</v>
      </c>
      <c r="B103" t="s">
        <v>115</v>
      </c>
      <c r="C103" t="s">
        <v>49</v>
      </c>
      <c r="D103" t="s">
        <v>9</v>
      </c>
      <c r="E103" s="3">
        <v>43194</v>
      </c>
      <c r="F103" s="8">
        <v>49942</v>
      </c>
      <c r="G103">
        <v>51</v>
      </c>
      <c r="H103" t="s">
        <v>36</v>
      </c>
      <c r="I103" t="str">
        <f t="shared" si="2"/>
        <v>William Davis</v>
      </c>
      <c r="J103" t="str">
        <f>VLOOKUP(D103,Lookup_Departments!$A$2:$B$7,2,FALSE)</f>
        <v>Information Technology</v>
      </c>
      <c r="K103">
        <f t="shared" ca="1" si="3"/>
        <v>8</v>
      </c>
      <c r="L103" t="str">
        <f>IF(G103="","No Score",VLOOKUP(G103,Lookup_Performance!$A$2:$D$6,3,TRUE))</f>
        <v>Developing</v>
      </c>
      <c r="M103" s="6">
        <f>IF(G103="",0,F103*VLOOKUP(G103,Lookup_Performance!$A$2:$D$6,4,TRUE))</f>
        <v>998.84</v>
      </c>
    </row>
    <row r="104" spans="1:13" x14ac:dyDescent="0.35">
      <c r="A104" t="s">
        <v>147</v>
      </c>
      <c r="B104" t="s">
        <v>17</v>
      </c>
      <c r="C104" t="s">
        <v>22</v>
      </c>
      <c r="D104" t="s">
        <v>26</v>
      </c>
      <c r="E104" s="3">
        <v>43195</v>
      </c>
      <c r="F104" s="8">
        <v>89060</v>
      </c>
      <c r="G104">
        <v>58</v>
      </c>
      <c r="H104" t="s">
        <v>36</v>
      </c>
      <c r="I104" t="str">
        <f t="shared" si="2"/>
        <v>John Smith</v>
      </c>
      <c r="J104" t="str">
        <f>VLOOKUP(D104,Lookup_Departments!$A$2:$B$7,2,FALSE)</f>
        <v>Operations</v>
      </c>
      <c r="K104">
        <f t="shared" ca="1" si="3"/>
        <v>8</v>
      </c>
      <c r="L104" t="str">
        <f>IF(G104="","No Score",VLOOKUP(G104,Lookup_Performance!$A$2:$D$6,3,TRUE))</f>
        <v>Developing</v>
      </c>
      <c r="M104" s="6">
        <f>IF(G104="",0,F104*VLOOKUP(G104,Lookup_Performance!$A$2:$D$6,4,TRUE))</f>
        <v>1781.2</v>
      </c>
    </row>
    <row r="105" spans="1:13" x14ac:dyDescent="0.35">
      <c r="A105" t="s">
        <v>148</v>
      </c>
      <c r="B105" t="s">
        <v>51</v>
      </c>
      <c r="C105" t="s">
        <v>15</v>
      </c>
      <c r="D105" t="s">
        <v>9</v>
      </c>
      <c r="E105" s="3">
        <v>43196</v>
      </c>
      <c r="F105" s="8">
        <v>53786</v>
      </c>
      <c r="G105">
        <v>98</v>
      </c>
      <c r="H105" t="s">
        <v>36</v>
      </c>
      <c r="I105" t="str">
        <f t="shared" si="2"/>
        <v>James Gonzalez</v>
      </c>
      <c r="J105" t="str">
        <f>VLOOKUP(D105,Lookup_Departments!$A$2:$B$7,2,FALSE)</f>
        <v>Information Technology</v>
      </c>
      <c r="K105">
        <f t="shared" ca="1" si="3"/>
        <v>8</v>
      </c>
      <c r="L105" t="str">
        <f>IF(G105="","No Score",VLOOKUP(G105,Lookup_Performance!$A$2:$D$6,3,TRUE))</f>
        <v>Outstanding</v>
      </c>
      <c r="M105" s="6">
        <f>IF(G105="",0,F105*VLOOKUP(G105,Lookup_Performance!$A$2:$D$6,4,TRUE))</f>
        <v>6454.32</v>
      </c>
    </row>
    <row r="106" spans="1:13" x14ac:dyDescent="0.35">
      <c r="A106" t="s">
        <v>149</v>
      </c>
      <c r="B106" t="s">
        <v>7</v>
      </c>
      <c r="C106" t="s">
        <v>25</v>
      </c>
      <c r="D106" t="s">
        <v>26</v>
      </c>
      <c r="E106" s="3">
        <v>43197</v>
      </c>
      <c r="F106" s="8">
        <v>81167</v>
      </c>
      <c r="H106" t="s">
        <v>36</v>
      </c>
      <c r="I106" t="str">
        <f t="shared" si="2"/>
        <v>Emily Johnson</v>
      </c>
      <c r="J106" t="str">
        <f>VLOOKUP(D106,Lookup_Departments!$A$2:$B$7,2,FALSE)</f>
        <v>Operations</v>
      </c>
      <c r="K106">
        <f t="shared" ca="1" si="3"/>
        <v>8</v>
      </c>
      <c r="L106" t="str">
        <f>IF(G106="","No Score",VLOOKUP(G106,Lookup_Performance!$A$2:$D$6,3,TRUE))</f>
        <v>No Score</v>
      </c>
      <c r="M106" s="6">
        <f>IF(G106="",0,F106*VLOOKUP(G106,Lookup_Performance!$A$2:$D$6,4,TRUE))</f>
        <v>0</v>
      </c>
    </row>
    <row r="107" spans="1:13" x14ac:dyDescent="0.35">
      <c r="A107" t="s">
        <v>150</v>
      </c>
      <c r="B107" t="s">
        <v>115</v>
      </c>
      <c r="C107" t="s">
        <v>42</v>
      </c>
      <c r="D107" t="s">
        <v>13</v>
      </c>
      <c r="E107" s="3">
        <v>43198</v>
      </c>
      <c r="F107" s="8">
        <v>66688</v>
      </c>
      <c r="G107">
        <v>40</v>
      </c>
      <c r="H107" t="s">
        <v>23</v>
      </c>
      <c r="I107" t="str">
        <f t="shared" si="2"/>
        <v>William Williams</v>
      </c>
      <c r="J107" t="str">
        <f>VLOOKUP(D107,Lookup_Departments!$A$2:$B$7,2,FALSE)</f>
        <v>Marketing</v>
      </c>
      <c r="K107" t="str">
        <f t="shared" ca="1" si="3"/>
        <v>N/A</v>
      </c>
      <c r="L107" t="str">
        <f>IF(G107="","No Score",VLOOKUP(G107,Lookup_Performance!$A$2:$D$6,3,TRUE))</f>
        <v>Needs Improvement</v>
      </c>
      <c r="M107" s="6">
        <f>IF(G107="",0,F107*VLOOKUP(G107,Lookup_Performance!$A$2:$D$6,4,TRUE))</f>
        <v>0</v>
      </c>
    </row>
    <row r="108" spans="1:13" x14ac:dyDescent="0.35">
      <c r="A108" t="s">
        <v>151</v>
      </c>
      <c r="B108" t="s">
        <v>51</v>
      </c>
      <c r="C108" t="s">
        <v>46</v>
      </c>
      <c r="D108" t="s">
        <v>9</v>
      </c>
      <c r="E108" s="3">
        <v>43199</v>
      </c>
      <c r="F108" s="8">
        <v>91672</v>
      </c>
      <c r="G108">
        <v>88</v>
      </c>
      <c r="H108" t="s">
        <v>36</v>
      </c>
      <c r="I108" t="str">
        <f t="shared" si="2"/>
        <v>James Jones</v>
      </c>
      <c r="J108" t="str">
        <f>VLOOKUP(D108,Lookup_Departments!$A$2:$B$7,2,FALSE)</f>
        <v>Information Technology</v>
      </c>
      <c r="K108">
        <f t="shared" ca="1" si="3"/>
        <v>8</v>
      </c>
      <c r="L108" t="str">
        <f>IF(G108="","No Score",VLOOKUP(G108,Lookup_Performance!$A$2:$D$6,3,TRUE))</f>
        <v>Exceeding</v>
      </c>
      <c r="M108" s="6">
        <f>IF(G108="",0,F108*VLOOKUP(G108,Lookup_Performance!$A$2:$D$6,4,TRUE))</f>
        <v>7333.76</v>
      </c>
    </row>
    <row r="109" spans="1:13" x14ac:dyDescent="0.35">
      <c r="A109" t="s">
        <v>152</v>
      </c>
      <c r="B109" t="s">
        <v>30</v>
      </c>
      <c r="C109" t="s">
        <v>15</v>
      </c>
      <c r="D109" t="s">
        <v>72</v>
      </c>
      <c r="E109" s="3">
        <v>43200</v>
      </c>
      <c r="F109" s="8">
        <v>77737</v>
      </c>
      <c r="G109">
        <v>77</v>
      </c>
      <c r="H109" t="s">
        <v>36</v>
      </c>
      <c r="I109" t="str">
        <f t="shared" si="2"/>
        <v>Jessica Gonzalez</v>
      </c>
      <c r="J109" t="str">
        <f>VLOOKUP(D109,Lookup_Departments!$A$2:$B$7,2,FALSE)</f>
        <v>Human Resources</v>
      </c>
      <c r="K109">
        <f t="shared" ca="1" si="3"/>
        <v>8</v>
      </c>
      <c r="L109" t="str">
        <f>IF(G109="","No Score",VLOOKUP(G109,Lookup_Performance!$A$2:$D$6,3,TRUE))</f>
        <v>Achieving</v>
      </c>
      <c r="M109" s="6">
        <f>IF(G109="",0,F109*VLOOKUP(G109,Lookup_Performance!$A$2:$D$6,4,TRUE))</f>
        <v>3886.8500000000004</v>
      </c>
    </row>
    <row r="110" spans="1:13" x14ac:dyDescent="0.35">
      <c r="A110" t="s">
        <v>153</v>
      </c>
      <c r="B110" t="s">
        <v>70</v>
      </c>
      <c r="C110" t="s">
        <v>38</v>
      </c>
      <c r="D110" t="s">
        <v>35</v>
      </c>
      <c r="E110" s="3">
        <v>43201</v>
      </c>
      <c r="F110" s="8">
        <v>95686</v>
      </c>
      <c r="G110">
        <v>91</v>
      </c>
      <c r="H110" t="s">
        <v>36</v>
      </c>
      <c r="I110" t="str">
        <f t="shared" si="2"/>
        <v>Sarah Miller</v>
      </c>
      <c r="J110" t="str">
        <f>VLOOKUP(D110,Lookup_Departments!$A$2:$B$7,2,FALSE)</f>
        <v>Sales</v>
      </c>
      <c r="K110">
        <f t="shared" ca="1" si="3"/>
        <v>8</v>
      </c>
      <c r="L110" t="str">
        <f>IF(G110="","No Score",VLOOKUP(G110,Lookup_Performance!$A$2:$D$6,3,TRUE))</f>
        <v>Exceeding</v>
      </c>
      <c r="M110" s="6">
        <f>IF(G110="",0,F110*VLOOKUP(G110,Lookup_Performance!$A$2:$D$6,4,TRUE))</f>
        <v>7654.88</v>
      </c>
    </row>
    <row r="111" spans="1:13" x14ac:dyDescent="0.35">
      <c r="A111" t="s">
        <v>154</v>
      </c>
      <c r="B111" t="s">
        <v>30</v>
      </c>
      <c r="C111" t="s">
        <v>22</v>
      </c>
      <c r="D111" t="s">
        <v>35</v>
      </c>
      <c r="E111" s="3">
        <v>43202</v>
      </c>
      <c r="F111" s="8">
        <v>114681</v>
      </c>
      <c r="G111">
        <v>36</v>
      </c>
      <c r="H111" t="s">
        <v>36</v>
      </c>
      <c r="I111" t="str">
        <f t="shared" si="2"/>
        <v>Jessica Smith</v>
      </c>
      <c r="J111" t="str">
        <f>VLOOKUP(D111,Lookup_Departments!$A$2:$B$7,2,FALSE)</f>
        <v>Sales</v>
      </c>
      <c r="K111">
        <f t="shared" ca="1" si="3"/>
        <v>8</v>
      </c>
      <c r="L111" t="str">
        <f>IF(G111="","No Score",VLOOKUP(G111,Lookup_Performance!$A$2:$D$6,3,TRUE))</f>
        <v>Needs Improvement</v>
      </c>
      <c r="M111" s="6">
        <f>IF(G111="",0,F111*VLOOKUP(G111,Lookup_Performance!$A$2:$D$6,4,TRUE))</f>
        <v>0</v>
      </c>
    </row>
    <row r="112" spans="1:13" x14ac:dyDescent="0.35">
      <c r="A112" t="s">
        <v>155</v>
      </c>
      <c r="B112" t="s">
        <v>21</v>
      </c>
      <c r="C112" t="s">
        <v>46</v>
      </c>
      <c r="D112" t="s">
        <v>26</v>
      </c>
      <c r="E112" s="3">
        <v>43203</v>
      </c>
      <c r="F112" s="8">
        <v>109121</v>
      </c>
      <c r="G112">
        <v>72</v>
      </c>
      <c r="H112" t="s">
        <v>36</v>
      </c>
      <c r="I112" t="str">
        <f t="shared" si="2"/>
        <v>Thomas Jones</v>
      </c>
      <c r="J112" t="str">
        <f>VLOOKUP(D112,Lookup_Departments!$A$2:$B$7,2,FALSE)</f>
        <v>Operations</v>
      </c>
      <c r="K112">
        <f t="shared" ca="1" si="3"/>
        <v>8</v>
      </c>
      <c r="L112" t="str">
        <f>IF(G112="","No Score",VLOOKUP(G112,Lookup_Performance!$A$2:$D$6,3,TRUE))</f>
        <v>Achieving</v>
      </c>
      <c r="M112" s="6">
        <f>IF(G112="",0,F112*VLOOKUP(G112,Lookup_Performance!$A$2:$D$6,4,TRUE))</f>
        <v>5456.05</v>
      </c>
    </row>
    <row r="113" spans="1:13" x14ac:dyDescent="0.35">
      <c r="A113" t="s">
        <v>156</v>
      </c>
      <c r="B113" t="s">
        <v>56</v>
      </c>
      <c r="C113" t="s">
        <v>8</v>
      </c>
      <c r="D113" t="s">
        <v>13</v>
      </c>
      <c r="E113" s="3">
        <v>43204</v>
      </c>
      <c r="F113" s="8">
        <v>112791</v>
      </c>
      <c r="G113">
        <v>87</v>
      </c>
      <c r="H113" t="s">
        <v>36</v>
      </c>
      <c r="I113" t="str">
        <f t="shared" si="2"/>
        <v>Amanda Brown</v>
      </c>
      <c r="J113" t="str">
        <f>VLOOKUP(D113,Lookup_Departments!$A$2:$B$7,2,FALSE)</f>
        <v>Marketing</v>
      </c>
      <c r="K113">
        <f t="shared" ca="1" si="3"/>
        <v>8</v>
      </c>
      <c r="L113" t="str">
        <f>IF(G113="","No Score",VLOOKUP(G113,Lookup_Performance!$A$2:$D$6,3,TRUE))</f>
        <v>Exceeding</v>
      </c>
      <c r="M113" s="6">
        <f>IF(G113="",0,F113*VLOOKUP(G113,Lookup_Performance!$A$2:$D$6,4,TRUE))</f>
        <v>9023.2800000000007</v>
      </c>
    </row>
    <row r="114" spans="1:13" x14ac:dyDescent="0.35">
      <c r="A114" t="s">
        <v>157</v>
      </c>
      <c r="B114" t="s">
        <v>45</v>
      </c>
      <c r="C114" t="s">
        <v>18</v>
      </c>
      <c r="D114" t="s">
        <v>9</v>
      </c>
      <c r="E114" s="3">
        <v>43205</v>
      </c>
      <c r="F114" s="8">
        <v>118008</v>
      </c>
      <c r="G114">
        <v>71</v>
      </c>
      <c r="H114" t="s">
        <v>36</v>
      </c>
      <c r="I114" t="str">
        <f t="shared" si="2"/>
        <v>Robert Martinez</v>
      </c>
      <c r="J114" t="str">
        <f>VLOOKUP(D114,Lookup_Departments!$A$2:$B$7,2,FALSE)</f>
        <v>Information Technology</v>
      </c>
      <c r="K114">
        <f t="shared" ca="1" si="3"/>
        <v>8</v>
      </c>
      <c r="L114" t="str">
        <f>IF(G114="","No Score",VLOOKUP(G114,Lookup_Performance!$A$2:$D$6,3,TRUE))</f>
        <v>Achieving</v>
      </c>
      <c r="M114" s="6">
        <f>IF(G114="",0,F114*VLOOKUP(G114,Lookup_Performance!$A$2:$D$6,4,TRUE))</f>
        <v>5900.4000000000005</v>
      </c>
    </row>
    <row r="115" spans="1:13" x14ac:dyDescent="0.35">
      <c r="A115" t="s">
        <v>158</v>
      </c>
      <c r="B115" t="s">
        <v>21</v>
      </c>
      <c r="C115" t="s">
        <v>38</v>
      </c>
      <c r="D115" t="s">
        <v>9</v>
      </c>
      <c r="E115" s="3">
        <v>43206</v>
      </c>
      <c r="F115" s="8">
        <v>74370</v>
      </c>
      <c r="G115">
        <v>82</v>
      </c>
      <c r="H115" t="s">
        <v>36</v>
      </c>
      <c r="I115" t="str">
        <f t="shared" si="2"/>
        <v>Thomas Miller</v>
      </c>
      <c r="J115" t="str">
        <f>VLOOKUP(D115,Lookup_Departments!$A$2:$B$7,2,FALSE)</f>
        <v>Information Technology</v>
      </c>
      <c r="K115">
        <f t="shared" ca="1" si="3"/>
        <v>8</v>
      </c>
      <c r="L115" t="str">
        <f>IF(G115="","No Score",VLOOKUP(G115,Lookup_Performance!$A$2:$D$6,3,TRUE))</f>
        <v>Achieving</v>
      </c>
      <c r="M115" s="6">
        <f>IF(G115="",0,F115*VLOOKUP(G115,Lookup_Performance!$A$2:$D$6,4,TRUE))</f>
        <v>3718.5</v>
      </c>
    </row>
    <row r="116" spans="1:13" x14ac:dyDescent="0.35">
      <c r="A116" t="s">
        <v>159</v>
      </c>
      <c r="B116" t="s">
        <v>82</v>
      </c>
      <c r="C116" t="s">
        <v>32</v>
      </c>
      <c r="D116" t="s">
        <v>9</v>
      </c>
      <c r="E116" s="3">
        <v>43207</v>
      </c>
      <c r="F116" s="8">
        <v>77819</v>
      </c>
      <c r="G116">
        <v>79</v>
      </c>
      <c r="H116" t="s">
        <v>36</v>
      </c>
      <c r="I116" t="str">
        <f t="shared" si="2"/>
        <v>David Rodriguez</v>
      </c>
      <c r="J116" t="str">
        <f>VLOOKUP(D116,Lookup_Departments!$A$2:$B$7,2,FALSE)</f>
        <v>Information Technology</v>
      </c>
      <c r="K116">
        <f t="shared" ca="1" si="3"/>
        <v>8</v>
      </c>
      <c r="L116" t="str">
        <f>IF(G116="","No Score",VLOOKUP(G116,Lookup_Performance!$A$2:$D$6,3,TRUE))</f>
        <v>Achieving</v>
      </c>
      <c r="M116" s="6">
        <f>IF(G116="",0,F116*VLOOKUP(G116,Lookup_Performance!$A$2:$D$6,4,TRUE))</f>
        <v>3890.9500000000003</v>
      </c>
    </row>
    <row r="117" spans="1:13" x14ac:dyDescent="0.35">
      <c r="A117" t="s">
        <v>160</v>
      </c>
      <c r="B117" t="s">
        <v>41</v>
      </c>
      <c r="C117" t="s">
        <v>38</v>
      </c>
      <c r="D117" t="s">
        <v>13</v>
      </c>
      <c r="E117" s="3">
        <v>43208</v>
      </c>
      <c r="F117" s="8">
        <v>48748</v>
      </c>
      <c r="G117">
        <v>83</v>
      </c>
      <c r="H117" t="s">
        <v>36</v>
      </c>
      <c r="I117" t="str">
        <f t="shared" si="2"/>
        <v>Jane Miller</v>
      </c>
      <c r="J117" t="str">
        <f>VLOOKUP(D117,Lookup_Departments!$A$2:$B$7,2,FALSE)</f>
        <v>Marketing</v>
      </c>
      <c r="K117">
        <f t="shared" ca="1" si="3"/>
        <v>8</v>
      </c>
      <c r="L117" t="str">
        <f>IF(G117="","No Score",VLOOKUP(G117,Lookup_Performance!$A$2:$D$6,3,TRUE))</f>
        <v>Achieving</v>
      </c>
      <c r="M117" s="6">
        <f>IF(G117="",0,F117*VLOOKUP(G117,Lookup_Performance!$A$2:$D$6,4,TRUE))</f>
        <v>2437.4</v>
      </c>
    </row>
    <row r="118" spans="1:13" x14ac:dyDescent="0.35">
      <c r="A118" t="s">
        <v>161</v>
      </c>
      <c r="B118" t="s">
        <v>51</v>
      </c>
      <c r="C118" t="s">
        <v>32</v>
      </c>
      <c r="D118" t="s">
        <v>26</v>
      </c>
      <c r="E118" s="3">
        <v>43209</v>
      </c>
      <c r="F118" s="8">
        <v>101997</v>
      </c>
      <c r="G118">
        <v>38</v>
      </c>
      <c r="H118" t="s">
        <v>84</v>
      </c>
      <c r="I118" t="str">
        <f t="shared" si="2"/>
        <v>James Rodriguez</v>
      </c>
      <c r="J118" t="str">
        <f>VLOOKUP(D118,Lookup_Departments!$A$2:$B$7,2,FALSE)</f>
        <v>Operations</v>
      </c>
      <c r="K118" t="str">
        <f t="shared" ca="1" si="3"/>
        <v>N/A</v>
      </c>
      <c r="L118" t="str">
        <f>IF(G118="","No Score",VLOOKUP(G118,Lookup_Performance!$A$2:$D$6,3,TRUE))</f>
        <v>Needs Improvement</v>
      </c>
      <c r="M118" s="6">
        <f>IF(G118="",0,F118*VLOOKUP(G118,Lookup_Performance!$A$2:$D$6,4,TRUE))</f>
        <v>0</v>
      </c>
    </row>
    <row r="119" spans="1:13" x14ac:dyDescent="0.35">
      <c r="A119" t="s">
        <v>162</v>
      </c>
      <c r="B119" t="s">
        <v>70</v>
      </c>
      <c r="C119" t="s">
        <v>32</v>
      </c>
      <c r="D119" t="s">
        <v>72</v>
      </c>
      <c r="E119" s="3">
        <v>43210</v>
      </c>
      <c r="F119" s="8">
        <v>115260</v>
      </c>
      <c r="G119">
        <v>77</v>
      </c>
      <c r="H119" t="s">
        <v>36</v>
      </c>
      <c r="I119" t="str">
        <f t="shared" si="2"/>
        <v>Sarah Rodriguez</v>
      </c>
      <c r="J119" t="str">
        <f>VLOOKUP(D119,Lookup_Departments!$A$2:$B$7,2,FALSE)</f>
        <v>Human Resources</v>
      </c>
      <c r="K119">
        <f t="shared" ca="1" si="3"/>
        <v>8</v>
      </c>
      <c r="L119" t="str">
        <f>IF(G119="","No Score",VLOOKUP(G119,Lookup_Performance!$A$2:$D$6,3,TRUE))</f>
        <v>Achieving</v>
      </c>
      <c r="M119" s="6">
        <f>IF(G119="",0,F119*VLOOKUP(G119,Lookup_Performance!$A$2:$D$6,4,TRUE))</f>
        <v>5763</v>
      </c>
    </row>
    <row r="120" spans="1:13" x14ac:dyDescent="0.35">
      <c r="A120" t="s">
        <v>163</v>
      </c>
      <c r="B120" t="s">
        <v>70</v>
      </c>
      <c r="C120" t="s">
        <v>28</v>
      </c>
      <c r="D120" t="s">
        <v>35</v>
      </c>
      <c r="E120" s="3">
        <v>43211</v>
      </c>
      <c r="G120">
        <v>49</v>
      </c>
      <c r="H120" t="s">
        <v>36</v>
      </c>
      <c r="I120" t="str">
        <f t="shared" si="2"/>
        <v>Sarah Wilson</v>
      </c>
      <c r="J120" t="str">
        <f>VLOOKUP(D120,Lookup_Departments!$A$2:$B$7,2,FALSE)</f>
        <v>Sales</v>
      </c>
      <c r="K120">
        <f t="shared" ca="1" si="3"/>
        <v>8</v>
      </c>
      <c r="L120" t="str">
        <f>IF(G120="","No Score",VLOOKUP(G120,Lookup_Performance!$A$2:$D$6,3,TRUE))</f>
        <v>Needs Improvement</v>
      </c>
      <c r="M120" s="6">
        <f>IF(G120="",0,F120*VLOOKUP(G120,Lookup_Performance!$A$2:$D$6,4,TRUE))</f>
        <v>0</v>
      </c>
    </row>
    <row r="121" spans="1:13" x14ac:dyDescent="0.35">
      <c r="A121" t="s">
        <v>164</v>
      </c>
      <c r="B121" t="s">
        <v>77</v>
      </c>
      <c r="C121" t="s">
        <v>8</v>
      </c>
      <c r="D121" t="s">
        <v>9</v>
      </c>
      <c r="E121" s="3">
        <v>43212</v>
      </c>
      <c r="G121">
        <v>69</v>
      </c>
      <c r="H121" t="s">
        <v>23</v>
      </c>
      <c r="I121" t="str">
        <f t="shared" si="2"/>
        <v>Melissa Brown</v>
      </c>
      <c r="J121" t="str">
        <f>VLOOKUP(D121,Lookup_Departments!$A$2:$B$7,2,FALSE)</f>
        <v>Information Technology</v>
      </c>
      <c r="K121" t="str">
        <f t="shared" ca="1" si="3"/>
        <v>N/A</v>
      </c>
      <c r="L121" t="str">
        <f>IF(G121="","No Score",VLOOKUP(G121,Lookup_Performance!$A$2:$D$6,3,TRUE))</f>
        <v>Developing</v>
      </c>
      <c r="M121" s="6">
        <f>IF(G121="",0,F121*VLOOKUP(G121,Lookup_Performance!$A$2:$D$6,4,TRUE))</f>
        <v>0</v>
      </c>
    </row>
    <row r="122" spans="1:13" x14ac:dyDescent="0.35">
      <c r="A122" t="s">
        <v>165</v>
      </c>
      <c r="B122" t="s">
        <v>45</v>
      </c>
      <c r="C122" t="s">
        <v>42</v>
      </c>
      <c r="D122" t="s">
        <v>35</v>
      </c>
      <c r="E122" s="3">
        <v>43213</v>
      </c>
      <c r="G122">
        <v>76</v>
      </c>
      <c r="H122" t="s">
        <v>36</v>
      </c>
      <c r="I122" t="str">
        <f t="shared" si="2"/>
        <v>Robert Williams</v>
      </c>
      <c r="J122" t="str">
        <f>VLOOKUP(D122,Lookup_Departments!$A$2:$B$7,2,FALSE)</f>
        <v>Sales</v>
      </c>
      <c r="K122">
        <f t="shared" ca="1" si="3"/>
        <v>8</v>
      </c>
      <c r="L122" t="str">
        <f>IF(G122="","No Score",VLOOKUP(G122,Lookup_Performance!$A$2:$D$6,3,TRUE))</f>
        <v>Achieving</v>
      </c>
      <c r="M122" s="6">
        <f>IF(G122="",0,F122*VLOOKUP(G122,Lookup_Performance!$A$2:$D$6,4,TRUE))</f>
        <v>0</v>
      </c>
    </row>
    <row r="123" spans="1:13" x14ac:dyDescent="0.35">
      <c r="A123" t="s">
        <v>166</v>
      </c>
      <c r="B123" t="s">
        <v>77</v>
      </c>
      <c r="C123" t="s">
        <v>32</v>
      </c>
      <c r="D123" t="s">
        <v>26</v>
      </c>
      <c r="E123" s="3">
        <v>43214</v>
      </c>
      <c r="F123" s="8">
        <v>60623</v>
      </c>
      <c r="G123">
        <v>78</v>
      </c>
      <c r="H123" t="s">
        <v>36</v>
      </c>
      <c r="I123" t="str">
        <f t="shared" si="2"/>
        <v>Melissa Rodriguez</v>
      </c>
      <c r="J123" t="str">
        <f>VLOOKUP(D123,Lookup_Departments!$A$2:$B$7,2,FALSE)</f>
        <v>Operations</v>
      </c>
      <c r="K123">
        <f t="shared" ca="1" si="3"/>
        <v>8</v>
      </c>
      <c r="L123" t="str">
        <f>IF(G123="","No Score",VLOOKUP(G123,Lookup_Performance!$A$2:$D$6,3,TRUE))</f>
        <v>Achieving</v>
      </c>
      <c r="M123" s="6">
        <f>IF(G123="",0,F123*VLOOKUP(G123,Lookup_Performance!$A$2:$D$6,4,TRUE))</f>
        <v>3031.15</v>
      </c>
    </row>
    <row r="124" spans="1:13" x14ac:dyDescent="0.35">
      <c r="A124" t="s">
        <v>167</v>
      </c>
      <c r="B124" t="s">
        <v>51</v>
      </c>
      <c r="C124" t="s">
        <v>25</v>
      </c>
      <c r="D124" t="s">
        <v>72</v>
      </c>
      <c r="E124" s="3">
        <v>43215</v>
      </c>
      <c r="F124" s="8">
        <v>68092</v>
      </c>
      <c r="G124">
        <v>93</v>
      </c>
      <c r="H124" t="s">
        <v>36</v>
      </c>
      <c r="I124" t="str">
        <f t="shared" si="2"/>
        <v>James Johnson</v>
      </c>
      <c r="J124" t="str">
        <f>VLOOKUP(D124,Lookup_Departments!$A$2:$B$7,2,FALSE)</f>
        <v>Human Resources</v>
      </c>
      <c r="K124">
        <f t="shared" ca="1" si="3"/>
        <v>8</v>
      </c>
      <c r="L124" t="str">
        <f>IF(G124="","No Score",VLOOKUP(G124,Lookup_Performance!$A$2:$D$6,3,TRUE))</f>
        <v>Exceeding</v>
      </c>
      <c r="M124" s="6">
        <f>IF(G124="",0,F124*VLOOKUP(G124,Lookup_Performance!$A$2:$D$6,4,TRUE))</f>
        <v>5447.36</v>
      </c>
    </row>
    <row r="125" spans="1:13" x14ac:dyDescent="0.35">
      <c r="A125" t="s">
        <v>168</v>
      </c>
      <c r="B125" t="s">
        <v>34</v>
      </c>
      <c r="C125" t="s">
        <v>28</v>
      </c>
      <c r="D125" t="s">
        <v>13</v>
      </c>
      <c r="E125" s="3">
        <v>43216</v>
      </c>
      <c r="F125" s="8">
        <v>88155</v>
      </c>
      <c r="G125">
        <v>68</v>
      </c>
      <c r="H125" t="s">
        <v>36</v>
      </c>
      <c r="I125" t="str">
        <f t="shared" si="2"/>
        <v>Michael Wilson</v>
      </c>
      <c r="J125" t="str">
        <f>VLOOKUP(D125,Lookup_Departments!$A$2:$B$7,2,FALSE)</f>
        <v>Marketing</v>
      </c>
      <c r="K125">
        <f t="shared" ca="1" si="3"/>
        <v>8</v>
      </c>
      <c r="L125" t="str">
        <f>IF(G125="","No Score",VLOOKUP(G125,Lookup_Performance!$A$2:$D$6,3,TRUE))</f>
        <v>Developing</v>
      </c>
      <c r="M125" s="6">
        <f>IF(G125="",0,F125*VLOOKUP(G125,Lookup_Performance!$A$2:$D$6,4,TRUE))</f>
        <v>1763.1000000000001</v>
      </c>
    </row>
    <row r="126" spans="1:13" x14ac:dyDescent="0.35">
      <c r="A126" t="s">
        <v>169</v>
      </c>
      <c r="B126" t="s">
        <v>115</v>
      </c>
      <c r="C126" t="s">
        <v>46</v>
      </c>
      <c r="D126" t="s">
        <v>13</v>
      </c>
      <c r="E126" s="3">
        <v>43217</v>
      </c>
      <c r="F126" s="8">
        <v>107903</v>
      </c>
      <c r="G126">
        <v>42</v>
      </c>
      <c r="H126" t="s">
        <v>36</v>
      </c>
      <c r="I126" t="str">
        <f t="shared" si="2"/>
        <v>William Jones</v>
      </c>
      <c r="J126" t="str">
        <f>VLOOKUP(D126,Lookup_Departments!$A$2:$B$7,2,FALSE)</f>
        <v>Marketing</v>
      </c>
      <c r="K126">
        <f t="shared" ca="1" si="3"/>
        <v>8</v>
      </c>
      <c r="L126" t="str">
        <f>IF(G126="","No Score",VLOOKUP(G126,Lookup_Performance!$A$2:$D$6,3,TRUE))</f>
        <v>Needs Improvement</v>
      </c>
      <c r="M126" s="6">
        <f>IF(G126="",0,F126*VLOOKUP(G126,Lookup_Performance!$A$2:$D$6,4,TRUE))</f>
        <v>0</v>
      </c>
    </row>
    <row r="127" spans="1:13" x14ac:dyDescent="0.35">
      <c r="A127" t="s">
        <v>170</v>
      </c>
      <c r="B127" t="s">
        <v>115</v>
      </c>
      <c r="C127" t="s">
        <v>42</v>
      </c>
      <c r="D127" t="s">
        <v>9</v>
      </c>
      <c r="E127" s="3">
        <v>43218</v>
      </c>
      <c r="F127" s="8">
        <v>62818</v>
      </c>
      <c r="G127">
        <v>34</v>
      </c>
      <c r="H127" t="s">
        <v>36</v>
      </c>
      <c r="I127" t="str">
        <f t="shared" si="2"/>
        <v>William Williams</v>
      </c>
      <c r="J127" t="str">
        <f>VLOOKUP(D127,Lookup_Departments!$A$2:$B$7,2,FALSE)</f>
        <v>Information Technology</v>
      </c>
      <c r="K127">
        <f t="shared" ca="1" si="3"/>
        <v>8</v>
      </c>
      <c r="L127" t="str">
        <f>IF(G127="","No Score",VLOOKUP(G127,Lookup_Performance!$A$2:$D$6,3,TRUE))</f>
        <v>Needs Improvement</v>
      </c>
      <c r="M127" s="6">
        <f>IF(G127="",0,F127*VLOOKUP(G127,Lookup_Performance!$A$2:$D$6,4,TRUE))</f>
        <v>0</v>
      </c>
    </row>
    <row r="128" spans="1:13" x14ac:dyDescent="0.35">
      <c r="A128" t="s">
        <v>171</v>
      </c>
      <c r="B128" t="s">
        <v>82</v>
      </c>
      <c r="C128" t="s">
        <v>42</v>
      </c>
      <c r="D128" t="s">
        <v>72</v>
      </c>
      <c r="E128" s="3">
        <v>43219</v>
      </c>
      <c r="F128" s="8">
        <v>85151</v>
      </c>
      <c r="G128">
        <v>35</v>
      </c>
      <c r="H128" t="s">
        <v>36</v>
      </c>
      <c r="I128" t="str">
        <f t="shared" si="2"/>
        <v>David Williams</v>
      </c>
      <c r="J128" t="str">
        <f>VLOOKUP(D128,Lookup_Departments!$A$2:$B$7,2,FALSE)</f>
        <v>Human Resources</v>
      </c>
      <c r="K128">
        <f t="shared" ca="1" si="3"/>
        <v>8</v>
      </c>
      <c r="L128" t="str">
        <f>IF(G128="","No Score",VLOOKUP(G128,Lookup_Performance!$A$2:$D$6,3,TRUE))</f>
        <v>Needs Improvement</v>
      </c>
      <c r="M128" s="6">
        <f>IF(G128="",0,F128*VLOOKUP(G128,Lookup_Performance!$A$2:$D$6,4,TRUE))</f>
        <v>0</v>
      </c>
    </row>
    <row r="129" spans="1:13" x14ac:dyDescent="0.35">
      <c r="A129" t="s">
        <v>172</v>
      </c>
      <c r="B129" t="s">
        <v>41</v>
      </c>
      <c r="C129" t="s">
        <v>49</v>
      </c>
      <c r="D129" t="s">
        <v>19</v>
      </c>
      <c r="E129" s="3">
        <v>43220</v>
      </c>
      <c r="F129" s="8">
        <v>46390</v>
      </c>
      <c r="G129">
        <v>95</v>
      </c>
      <c r="H129" t="s">
        <v>36</v>
      </c>
      <c r="I129" t="str">
        <f t="shared" si="2"/>
        <v>Jane Davis</v>
      </c>
      <c r="J129" t="str">
        <f>VLOOKUP(D129,Lookup_Departments!$A$2:$B$7,2,FALSE)</f>
        <v>Finance</v>
      </c>
      <c r="K129">
        <f t="shared" ca="1" si="3"/>
        <v>8</v>
      </c>
      <c r="L129" t="str">
        <f>IF(G129="","No Score",VLOOKUP(G129,Lookup_Performance!$A$2:$D$6,3,TRUE))</f>
        <v>Outstanding</v>
      </c>
      <c r="M129" s="6">
        <f>IF(G129="",0,F129*VLOOKUP(G129,Lookup_Performance!$A$2:$D$6,4,TRUE))</f>
        <v>5566.8</v>
      </c>
    </row>
    <row r="130" spans="1:13" x14ac:dyDescent="0.35">
      <c r="A130" t="s">
        <v>173</v>
      </c>
      <c r="B130" t="s">
        <v>17</v>
      </c>
      <c r="C130" t="s">
        <v>18</v>
      </c>
      <c r="D130" t="s">
        <v>72</v>
      </c>
      <c r="E130" s="3">
        <v>43221</v>
      </c>
      <c r="F130" s="8">
        <v>111920</v>
      </c>
      <c r="G130">
        <v>90</v>
      </c>
      <c r="H130" t="s">
        <v>23</v>
      </c>
      <c r="I130" t="str">
        <f t="shared" si="2"/>
        <v>John Martinez</v>
      </c>
      <c r="J130" t="str">
        <f>VLOOKUP(D130,Lookup_Departments!$A$2:$B$7,2,FALSE)</f>
        <v>Human Resources</v>
      </c>
      <c r="K130" t="str">
        <f t="shared" ca="1" si="3"/>
        <v>N/A</v>
      </c>
      <c r="L130" t="str">
        <f>IF(G130="","No Score",VLOOKUP(G130,Lookup_Performance!$A$2:$D$6,3,TRUE))</f>
        <v>Exceeding</v>
      </c>
      <c r="M130" s="6">
        <f>IF(G130="",0,F130*VLOOKUP(G130,Lookup_Performance!$A$2:$D$6,4,TRUE))</f>
        <v>8953.6</v>
      </c>
    </row>
    <row r="131" spans="1:13" x14ac:dyDescent="0.35">
      <c r="A131" t="s">
        <v>174</v>
      </c>
      <c r="B131" t="s">
        <v>82</v>
      </c>
      <c r="C131" t="s">
        <v>99</v>
      </c>
      <c r="D131" t="s">
        <v>72</v>
      </c>
      <c r="E131" s="3">
        <v>43222</v>
      </c>
      <c r="F131" s="8">
        <v>115618</v>
      </c>
      <c r="G131">
        <v>42</v>
      </c>
      <c r="H131" t="s">
        <v>36</v>
      </c>
      <c r="I131" t="str">
        <f t="shared" ref="I131:I151" si="4">TRIM(B131&amp;" "&amp;C131)</f>
        <v>David Anderson</v>
      </c>
      <c r="J131" t="str">
        <f>VLOOKUP(D131,Lookup_Departments!$A$2:$B$7,2,FALSE)</f>
        <v>Human Resources</v>
      </c>
      <c r="K131">
        <f t="shared" ref="K131:K151" ca="1" si="5">IF(H131="Active",DATEDIF(E131,TODAY(),"y"),"N/A")</f>
        <v>8</v>
      </c>
      <c r="L131" t="str">
        <f>IF(G131="","No Score",VLOOKUP(G131,Lookup_Performance!$A$2:$D$6,3,TRUE))</f>
        <v>Needs Improvement</v>
      </c>
      <c r="M131" s="6">
        <f>IF(G131="",0,F131*VLOOKUP(G131,Lookup_Performance!$A$2:$D$6,4,TRUE))</f>
        <v>0</v>
      </c>
    </row>
    <row r="132" spans="1:13" x14ac:dyDescent="0.35">
      <c r="A132" t="s">
        <v>175</v>
      </c>
      <c r="B132" t="s">
        <v>70</v>
      </c>
      <c r="C132" t="s">
        <v>22</v>
      </c>
      <c r="D132" t="s">
        <v>35</v>
      </c>
      <c r="E132" s="3">
        <v>43223</v>
      </c>
      <c r="F132" s="8">
        <v>110618</v>
      </c>
      <c r="G132">
        <v>88</v>
      </c>
      <c r="H132" t="s">
        <v>84</v>
      </c>
      <c r="I132" t="str">
        <f t="shared" si="4"/>
        <v>Sarah Smith</v>
      </c>
      <c r="J132" t="str">
        <f>VLOOKUP(D132,Lookup_Departments!$A$2:$B$7,2,FALSE)</f>
        <v>Sales</v>
      </c>
      <c r="K132" t="str">
        <f t="shared" ca="1" si="5"/>
        <v>N/A</v>
      </c>
      <c r="L132" t="str">
        <f>IF(G132="","No Score",VLOOKUP(G132,Lookup_Performance!$A$2:$D$6,3,TRUE))</f>
        <v>Exceeding</v>
      </c>
      <c r="M132" s="6">
        <f>IF(G132="",0,F132*VLOOKUP(G132,Lookup_Performance!$A$2:$D$6,4,TRUE))</f>
        <v>8849.44</v>
      </c>
    </row>
    <row r="133" spans="1:13" x14ac:dyDescent="0.35">
      <c r="A133" t="s">
        <v>176</v>
      </c>
      <c r="B133" t="s">
        <v>77</v>
      </c>
      <c r="C133" t="s">
        <v>12</v>
      </c>
      <c r="D133" t="s">
        <v>26</v>
      </c>
      <c r="E133" s="3">
        <v>43224</v>
      </c>
      <c r="F133" s="8">
        <v>108395</v>
      </c>
      <c r="G133">
        <v>78</v>
      </c>
      <c r="H133" t="s">
        <v>23</v>
      </c>
      <c r="I133" t="str">
        <f t="shared" si="4"/>
        <v>Melissa Hernandez</v>
      </c>
      <c r="J133" t="str">
        <f>VLOOKUP(D133,Lookup_Departments!$A$2:$B$7,2,FALSE)</f>
        <v>Operations</v>
      </c>
      <c r="K133" t="str">
        <f t="shared" ca="1" si="5"/>
        <v>N/A</v>
      </c>
      <c r="L133" t="str">
        <f>IF(G133="","No Score",VLOOKUP(G133,Lookup_Performance!$A$2:$D$6,3,TRUE))</f>
        <v>Achieving</v>
      </c>
      <c r="M133" s="6">
        <f>IF(G133="",0,F133*VLOOKUP(G133,Lookup_Performance!$A$2:$D$6,4,TRUE))</f>
        <v>5419.75</v>
      </c>
    </row>
    <row r="134" spans="1:13" x14ac:dyDescent="0.35">
      <c r="A134" t="s">
        <v>177</v>
      </c>
      <c r="B134" t="s">
        <v>77</v>
      </c>
      <c r="C134" t="s">
        <v>25</v>
      </c>
      <c r="D134" t="s">
        <v>19</v>
      </c>
      <c r="E134" s="3">
        <v>43225</v>
      </c>
      <c r="F134" s="8">
        <v>88005</v>
      </c>
      <c r="G134">
        <v>69</v>
      </c>
      <c r="H134" t="s">
        <v>36</v>
      </c>
      <c r="I134" t="str">
        <f t="shared" si="4"/>
        <v>Melissa Johnson</v>
      </c>
      <c r="J134" t="str">
        <f>VLOOKUP(D134,Lookup_Departments!$A$2:$B$7,2,FALSE)</f>
        <v>Finance</v>
      </c>
      <c r="K134">
        <f t="shared" ca="1" si="5"/>
        <v>8</v>
      </c>
      <c r="L134" t="str">
        <f>IF(G134="","No Score",VLOOKUP(G134,Lookup_Performance!$A$2:$D$6,3,TRUE))</f>
        <v>Developing</v>
      </c>
      <c r="M134" s="6">
        <f>IF(G134="",0,F134*VLOOKUP(G134,Lookup_Performance!$A$2:$D$6,4,TRUE))</f>
        <v>1760.1000000000001</v>
      </c>
    </row>
    <row r="135" spans="1:13" x14ac:dyDescent="0.35">
      <c r="A135" t="s">
        <v>178</v>
      </c>
      <c r="B135" t="s">
        <v>41</v>
      </c>
      <c r="C135" t="s">
        <v>97</v>
      </c>
      <c r="D135" t="s">
        <v>13</v>
      </c>
      <c r="E135" s="3">
        <v>43226</v>
      </c>
      <c r="F135" s="8">
        <v>83007</v>
      </c>
      <c r="G135">
        <v>82</v>
      </c>
      <c r="H135" t="s">
        <v>36</v>
      </c>
      <c r="I135" t="str">
        <f t="shared" si="4"/>
        <v>Jane Garcia</v>
      </c>
      <c r="J135" t="str">
        <f>VLOOKUP(D135,Lookup_Departments!$A$2:$B$7,2,FALSE)</f>
        <v>Marketing</v>
      </c>
      <c r="K135">
        <f t="shared" ca="1" si="5"/>
        <v>8</v>
      </c>
      <c r="L135" t="str">
        <f>IF(G135="","No Score",VLOOKUP(G135,Lookup_Performance!$A$2:$D$6,3,TRUE))</f>
        <v>Achieving</v>
      </c>
      <c r="M135" s="6">
        <f>IF(G135="",0,F135*VLOOKUP(G135,Lookup_Performance!$A$2:$D$6,4,TRUE))</f>
        <v>4150.3500000000004</v>
      </c>
    </row>
    <row r="136" spans="1:13" x14ac:dyDescent="0.35">
      <c r="A136" t="s">
        <v>179</v>
      </c>
      <c r="B136" t="s">
        <v>82</v>
      </c>
      <c r="C136" t="s">
        <v>49</v>
      </c>
      <c r="D136" t="s">
        <v>9</v>
      </c>
      <c r="E136" s="3">
        <v>43227</v>
      </c>
      <c r="F136" s="8">
        <v>61547</v>
      </c>
      <c r="G136">
        <v>68</v>
      </c>
      <c r="H136" t="s">
        <v>36</v>
      </c>
      <c r="I136" t="str">
        <f t="shared" si="4"/>
        <v>David Davis</v>
      </c>
      <c r="J136" t="str">
        <f>VLOOKUP(D136,Lookup_Departments!$A$2:$B$7,2,FALSE)</f>
        <v>Information Technology</v>
      </c>
      <c r="K136">
        <f t="shared" ca="1" si="5"/>
        <v>8</v>
      </c>
      <c r="L136" t="str">
        <f>IF(G136="","No Score",VLOOKUP(G136,Lookup_Performance!$A$2:$D$6,3,TRUE))</f>
        <v>Developing</v>
      </c>
      <c r="M136" s="6">
        <f>IF(G136="",0,F136*VLOOKUP(G136,Lookup_Performance!$A$2:$D$6,4,TRUE))</f>
        <v>1230.94</v>
      </c>
    </row>
    <row r="137" spans="1:13" x14ac:dyDescent="0.35">
      <c r="A137" t="s">
        <v>180</v>
      </c>
      <c r="B137" t="s">
        <v>51</v>
      </c>
      <c r="C137" t="s">
        <v>28</v>
      </c>
      <c r="D137" t="s">
        <v>35</v>
      </c>
      <c r="E137" s="3">
        <v>43228</v>
      </c>
      <c r="G137">
        <v>52</v>
      </c>
      <c r="H137" t="s">
        <v>36</v>
      </c>
      <c r="I137" t="str">
        <f t="shared" si="4"/>
        <v>James Wilson</v>
      </c>
      <c r="J137" t="str">
        <f>VLOOKUP(D137,Lookup_Departments!$A$2:$B$7,2,FALSE)</f>
        <v>Sales</v>
      </c>
      <c r="K137">
        <f t="shared" ca="1" si="5"/>
        <v>8</v>
      </c>
      <c r="L137" t="str">
        <f>IF(G137="","No Score",VLOOKUP(G137,Lookup_Performance!$A$2:$D$6,3,TRUE))</f>
        <v>Developing</v>
      </c>
      <c r="M137" s="6">
        <f>IF(G137="",0,F137*VLOOKUP(G137,Lookup_Performance!$A$2:$D$6,4,TRUE))</f>
        <v>0</v>
      </c>
    </row>
    <row r="138" spans="1:13" x14ac:dyDescent="0.35">
      <c r="A138" t="s">
        <v>181</v>
      </c>
      <c r="B138" t="s">
        <v>11</v>
      </c>
      <c r="C138" t="s">
        <v>25</v>
      </c>
      <c r="D138" t="s">
        <v>26</v>
      </c>
      <c r="E138" s="3">
        <v>43229</v>
      </c>
      <c r="F138" s="8">
        <v>50399</v>
      </c>
      <c r="G138">
        <v>92</v>
      </c>
      <c r="H138" t="s">
        <v>23</v>
      </c>
      <c r="I138" t="str">
        <f t="shared" si="4"/>
        <v>Richard Johnson</v>
      </c>
      <c r="J138" t="str">
        <f>VLOOKUP(D138,Lookup_Departments!$A$2:$B$7,2,FALSE)</f>
        <v>Operations</v>
      </c>
      <c r="K138" t="str">
        <f t="shared" ca="1" si="5"/>
        <v>N/A</v>
      </c>
      <c r="L138" t="str">
        <f>IF(G138="","No Score",VLOOKUP(G138,Lookup_Performance!$A$2:$D$6,3,TRUE))</f>
        <v>Exceeding</v>
      </c>
      <c r="M138" s="6">
        <f>IF(G138="",0,F138*VLOOKUP(G138,Lookup_Performance!$A$2:$D$6,4,TRUE))</f>
        <v>4031.92</v>
      </c>
    </row>
    <row r="139" spans="1:13" x14ac:dyDescent="0.35">
      <c r="A139" t="s">
        <v>182</v>
      </c>
      <c r="B139" t="s">
        <v>11</v>
      </c>
      <c r="C139" t="s">
        <v>42</v>
      </c>
      <c r="D139" t="s">
        <v>19</v>
      </c>
      <c r="E139" s="3">
        <v>43230</v>
      </c>
      <c r="G139">
        <v>62</v>
      </c>
      <c r="H139" t="s">
        <v>36</v>
      </c>
      <c r="I139" t="str">
        <f t="shared" si="4"/>
        <v>Richard Williams</v>
      </c>
      <c r="J139" t="str">
        <f>VLOOKUP(D139,Lookup_Departments!$A$2:$B$7,2,FALSE)</f>
        <v>Finance</v>
      </c>
      <c r="K139">
        <f t="shared" ca="1" si="5"/>
        <v>8</v>
      </c>
      <c r="L139" t="str">
        <f>IF(G139="","No Score",VLOOKUP(G139,Lookup_Performance!$A$2:$D$6,3,TRUE))</f>
        <v>Developing</v>
      </c>
      <c r="M139" s="6">
        <f>IF(G139="",0,F139*VLOOKUP(G139,Lookup_Performance!$A$2:$D$6,4,TRUE))</f>
        <v>0</v>
      </c>
    </row>
    <row r="140" spans="1:13" x14ac:dyDescent="0.35">
      <c r="A140" t="s">
        <v>183</v>
      </c>
      <c r="B140" t="s">
        <v>17</v>
      </c>
      <c r="C140" t="s">
        <v>12</v>
      </c>
      <c r="D140" t="s">
        <v>26</v>
      </c>
      <c r="E140" s="3">
        <v>43231</v>
      </c>
      <c r="F140" s="8">
        <v>52720</v>
      </c>
      <c r="G140">
        <v>68</v>
      </c>
      <c r="H140" t="s">
        <v>36</v>
      </c>
      <c r="I140" t="str">
        <f t="shared" si="4"/>
        <v>John Hernandez</v>
      </c>
      <c r="J140" t="str">
        <f>VLOOKUP(D140,Lookup_Departments!$A$2:$B$7,2,FALSE)</f>
        <v>Operations</v>
      </c>
      <c r="K140">
        <f t="shared" ca="1" si="5"/>
        <v>8</v>
      </c>
      <c r="L140" t="str">
        <f>IF(G140="","No Score",VLOOKUP(G140,Lookup_Performance!$A$2:$D$6,3,TRUE))</f>
        <v>Developing</v>
      </c>
      <c r="M140" s="6">
        <f>IF(G140="",0,F140*VLOOKUP(G140,Lookup_Performance!$A$2:$D$6,4,TRUE))</f>
        <v>1054.4000000000001</v>
      </c>
    </row>
    <row r="141" spans="1:13" x14ac:dyDescent="0.35">
      <c r="A141" t="s">
        <v>184</v>
      </c>
      <c r="B141" t="s">
        <v>70</v>
      </c>
      <c r="C141" t="s">
        <v>15</v>
      </c>
      <c r="D141" t="s">
        <v>26</v>
      </c>
      <c r="E141" s="3">
        <v>43232</v>
      </c>
      <c r="F141" s="8">
        <v>65065</v>
      </c>
      <c r="G141">
        <v>98</v>
      </c>
      <c r="H141" t="s">
        <v>36</v>
      </c>
      <c r="I141" t="str">
        <f t="shared" si="4"/>
        <v>Sarah Gonzalez</v>
      </c>
      <c r="J141" t="str">
        <f>VLOOKUP(D141,Lookup_Departments!$A$2:$B$7,2,FALSE)</f>
        <v>Operations</v>
      </c>
      <c r="K141">
        <f t="shared" ca="1" si="5"/>
        <v>8</v>
      </c>
      <c r="L141" t="str">
        <f>IF(G141="","No Score",VLOOKUP(G141,Lookup_Performance!$A$2:$D$6,3,TRUE))</f>
        <v>Outstanding</v>
      </c>
      <c r="M141" s="6">
        <f>IF(G141="",0,F141*VLOOKUP(G141,Lookup_Performance!$A$2:$D$6,4,TRUE))</f>
        <v>7807.7999999999993</v>
      </c>
    </row>
    <row r="142" spans="1:13" x14ac:dyDescent="0.35">
      <c r="A142" t="s">
        <v>185</v>
      </c>
      <c r="B142" t="s">
        <v>77</v>
      </c>
      <c r="C142" t="s">
        <v>12</v>
      </c>
      <c r="D142" t="s">
        <v>35</v>
      </c>
      <c r="E142" s="3">
        <v>43233</v>
      </c>
      <c r="G142">
        <v>94</v>
      </c>
      <c r="H142" t="s">
        <v>84</v>
      </c>
      <c r="I142" t="str">
        <f t="shared" si="4"/>
        <v>Melissa Hernandez</v>
      </c>
      <c r="J142" t="str">
        <f>VLOOKUP(D142,Lookup_Departments!$A$2:$B$7,2,FALSE)</f>
        <v>Sales</v>
      </c>
      <c r="K142" t="str">
        <f t="shared" ca="1" si="5"/>
        <v>N/A</v>
      </c>
      <c r="L142" t="str">
        <f>IF(G142="","No Score",VLOOKUP(G142,Lookup_Performance!$A$2:$D$6,3,TRUE))</f>
        <v>Exceeding</v>
      </c>
      <c r="M142" s="6">
        <f>IF(G142="",0,F142*VLOOKUP(G142,Lookup_Performance!$A$2:$D$6,4,TRUE))</f>
        <v>0</v>
      </c>
    </row>
    <row r="143" spans="1:13" x14ac:dyDescent="0.35">
      <c r="A143" t="s">
        <v>186</v>
      </c>
      <c r="B143" t="s">
        <v>77</v>
      </c>
      <c r="C143" t="s">
        <v>12</v>
      </c>
      <c r="D143" t="s">
        <v>26</v>
      </c>
      <c r="E143" s="3">
        <v>43234</v>
      </c>
      <c r="F143" s="8">
        <v>108119</v>
      </c>
      <c r="G143">
        <v>57</v>
      </c>
      <c r="H143" t="s">
        <v>84</v>
      </c>
      <c r="I143" t="str">
        <f t="shared" si="4"/>
        <v>Melissa Hernandez</v>
      </c>
      <c r="J143" t="str">
        <f>VLOOKUP(D143,Lookup_Departments!$A$2:$B$7,2,FALSE)</f>
        <v>Operations</v>
      </c>
      <c r="K143" t="str">
        <f t="shared" ca="1" si="5"/>
        <v>N/A</v>
      </c>
      <c r="L143" t="str">
        <f>IF(G143="","No Score",VLOOKUP(G143,Lookup_Performance!$A$2:$D$6,3,TRUE))</f>
        <v>Developing</v>
      </c>
      <c r="M143" s="6">
        <f>IF(G143="",0,F143*VLOOKUP(G143,Lookup_Performance!$A$2:$D$6,4,TRUE))</f>
        <v>2162.38</v>
      </c>
    </row>
    <row r="144" spans="1:13" x14ac:dyDescent="0.35">
      <c r="A144" t="s">
        <v>187</v>
      </c>
      <c r="B144" t="s">
        <v>17</v>
      </c>
      <c r="C144" t="s">
        <v>49</v>
      </c>
      <c r="D144" t="s">
        <v>9</v>
      </c>
      <c r="E144" s="3">
        <v>43235</v>
      </c>
      <c r="G144">
        <v>96</v>
      </c>
      <c r="H144" t="s">
        <v>36</v>
      </c>
      <c r="I144" t="str">
        <f t="shared" si="4"/>
        <v>John Davis</v>
      </c>
      <c r="J144" t="str">
        <f>VLOOKUP(D144,Lookup_Departments!$A$2:$B$7,2,FALSE)</f>
        <v>Information Technology</v>
      </c>
      <c r="K144">
        <f t="shared" ca="1" si="5"/>
        <v>8</v>
      </c>
      <c r="L144" t="str">
        <f>IF(G144="","No Score",VLOOKUP(G144,Lookup_Performance!$A$2:$D$6,3,TRUE))</f>
        <v>Outstanding</v>
      </c>
      <c r="M144" s="6">
        <f>IF(G144="",0,F144*VLOOKUP(G144,Lookup_Performance!$A$2:$D$6,4,TRUE))</f>
        <v>0</v>
      </c>
    </row>
    <row r="145" spans="1:13" x14ac:dyDescent="0.35">
      <c r="A145" t="s">
        <v>188</v>
      </c>
      <c r="B145" t="s">
        <v>11</v>
      </c>
      <c r="C145" t="s">
        <v>49</v>
      </c>
      <c r="D145" t="s">
        <v>72</v>
      </c>
      <c r="E145" s="3">
        <v>43236</v>
      </c>
      <c r="F145" s="8">
        <v>106896</v>
      </c>
      <c r="G145">
        <v>52</v>
      </c>
      <c r="H145" t="s">
        <v>23</v>
      </c>
      <c r="I145" t="str">
        <f t="shared" si="4"/>
        <v>Richard Davis</v>
      </c>
      <c r="J145" t="str">
        <f>VLOOKUP(D145,Lookup_Departments!$A$2:$B$7,2,FALSE)</f>
        <v>Human Resources</v>
      </c>
      <c r="K145" t="str">
        <f t="shared" ca="1" si="5"/>
        <v>N/A</v>
      </c>
      <c r="L145" t="str">
        <f>IF(G145="","No Score",VLOOKUP(G145,Lookup_Performance!$A$2:$D$6,3,TRUE))</f>
        <v>Developing</v>
      </c>
      <c r="M145" s="6">
        <f>IF(G145="",0,F145*VLOOKUP(G145,Lookup_Performance!$A$2:$D$6,4,TRUE))</f>
        <v>2137.92</v>
      </c>
    </row>
    <row r="146" spans="1:13" x14ac:dyDescent="0.35">
      <c r="A146" t="s">
        <v>189</v>
      </c>
      <c r="C146" t="s">
        <v>46</v>
      </c>
      <c r="D146" t="s">
        <v>9</v>
      </c>
      <c r="E146" s="3">
        <v>43237</v>
      </c>
      <c r="F146" s="8">
        <v>112887</v>
      </c>
      <c r="G146">
        <v>59</v>
      </c>
      <c r="H146" t="s">
        <v>36</v>
      </c>
      <c r="I146" t="str">
        <f t="shared" si="4"/>
        <v>Jones</v>
      </c>
      <c r="J146" t="str">
        <f>VLOOKUP(D146,Lookup_Departments!$A$2:$B$7,2,FALSE)</f>
        <v>Information Technology</v>
      </c>
      <c r="K146">
        <f t="shared" ca="1" si="5"/>
        <v>8</v>
      </c>
      <c r="L146" t="str">
        <f>IF(G146="","No Score",VLOOKUP(G146,Lookup_Performance!$A$2:$D$6,3,TRUE))</f>
        <v>Developing</v>
      </c>
      <c r="M146" s="6">
        <f>IF(G146="",0,F146*VLOOKUP(G146,Lookup_Performance!$A$2:$D$6,4,TRUE))</f>
        <v>2257.7400000000002</v>
      </c>
    </row>
    <row r="147" spans="1:13" x14ac:dyDescent="0.35">
      <c r="A147" t="s">
        <v>190</v>
      </c>
      <c r="B147" t="s">
        <v>115</v>
      </c>
      <c r="C147" t="s">
        <v>32</v>
      </c>
      <c r="D147" t="s">
        <v>19</v>
      </c>
      <c r="E147" s="3">
        <v>43238</v>
      </c>
      <c r="F147" s="8">
        <v>85457</v>
      </c>
      <c r="G147">
        <v>79</v>
      </c>
      <c r="H147" t="s">
        <v>36</v>
      </c>
      <c r="I147" t="str">
        <f t="shared" si="4"/>
        <v>William Rodriguez</v>
      </c>
      <c r="J147" t="str">
        <f>VLOOKUP(D147,Lookup_Departments!$A$2:$B$7,2,FALSE)</f>
        <v>Finance</v>
      </c>
      <c r="K147">
        <f t="shared" ca="1" si="5"/>
        <v>8</v>
      </c>
      <c r="L147" t="str">
        <f>IF(G147="","No Score",VLOOKUP(G147,Lookup_Performance!$A$2:$D$6,3,TRUE))</f>
        <v>Achieving</v>
      </c>
      <c r="M147" s="6">
        <f>IF(G147="",0,F147*VLOOKUP(G147,Lookup_Performance!$A$2:$D$6,4,TRUE))</f>
        <v>4272.8500000000004</v>
      </c>
    </row>
    <row r="148" spans="1:13" x14ac:dyDescent="0.35">
      <c r="A148" t="s">
        <v>191</v>
      </c>
      <c r="B148" t="s">
        <v>77</v>
      </c>
      <c r="C148" t="s">
        <v>38</v>
      </c>
      <c r="D148" t="s">
        <v>35</v>
      </c>
      <c r="E148" s="3">
        <v>43239</v>
      </c>
      <c r="F148" s="8">
        <v>62798</v>
      </c>
      <c r="G148">
        <v>30</v>
      </c>
      <c r="H148" t="s">
        <v>36</v>
      </c>
      <c r="I148" t="str">
        <f t="shared" si="4"/>
        <v>Melissa Miller</v>
      </c>
      <c r="J148" t="str">
        <f>VLOOKUP(D148,Lookup_Departments!$A$2:$B$7,2,FALSE)</f>
        <v>Sales</v>
      </c>
      <c r="K148">
        <f t="shared" ca="1" si="5"/>
        <v>8</v>
      </c>
      <c r="L148" t="str">
        <f>IF(G148="","No Score",VLOOKUP(G148,Lookup_Performance!$A$2:$D$6,3,TRUE))</f>
        <v>Needs Improvement</v>
      </c>
      <c r="M148" s="6">
        <f>IF(G148="",0,F148*VLOOKUP(G148,Lookup_Performance!$A$2:$D$6,4,TRUE))</f>
        <v>0</v>
      </c>
    </row>
    <row r="149" spans="1:13" x14ac:dyDescent="0.35">
      <c r="A149" t="s">
        <v>192</v>
      </c>
      <c r="B149" t="s">
        <v>7</v>
      </c>
      <c r="C149" t="s">
        <v>18</v>
      </c>
      <c r="D149" t="s">
        <v>26</v>
      </c>
      <c r="E149" s="3">
        <v>43240</v>
      </c>
      <c r="F149" s="8">
        <v>47794</v>
      </c>
      <c r="G149">
        <v>73</v>
      </c>
      <c r="H149" t="s">
        <v>23</v>
      </c>
      <c r="I149" t="str">
        <f t="shared" si="4"/>
        <v>Emily Martinez</v>
      </c>
      <c r="J149" t="str">
        <f>VLOOKUP(D149,Lookup_Departments!$A$2:$B$7,2,FALSE)</f>
        <v>Operations</v>
      </c>
      <c r="K149" t="str">
        <f t="shared" ca="1" si="5"/>
        <v>N/A</v>
      </c>
      <c r="L149" t="str">
        <f>IF(G149="","No Score",VLOOKUP(G149,Lookup_Performance!$A$2:$D$6,3,TRUE))</f>
        <v>Achieving</v>
      </c>
      <c r="M149" s="6">
        <f>IF(G149="",0,F149*VLOOKUP(G149,Lookup_Performance!$A$2:$D$6,4,TRUE))</f>
        <v>2389.7000000000003</v>
      </c>
    </row>
    <row r="150" spans="1:13" x14ac:dyDescent="0.35">
      <c r="A150" t="s">
        <v>193</v>
      </c>
      <c r="B150" t="s">
        <v>51</v>
      </c>
      <c r="C150" t="s">
        <v>32</v>
      </c>
      <c r="D150" t="s">
        <v>13</v>
      </c>
      <c r="E150" s="3">
        <v>43241</v>
      </c>
      <c r="F150" s="8">
        <v>93094</v>
      </c>
      <c r="G150">
        <v>74</v>
      </c>
      <c r="H150" t="s">
        <v>36</v>
      </c>
      <c r="I150" t="str">
        <f t="shared" si="4"/>
        <v>James Rodriguez</v>
      </c>
      <c r="J150" t="str">
        <f>VLOOKUP(D150,Lookup_Departments!$A$2:$B$7,2,FALSE)</f>
        <v>Marketing</v>
      </c>
      <c r="K150">
        <f t="shared" ca="1" si="5"/>
        <v>8</v>
      </c>
      <c r="L150" t="str">
        <f>IF(G150="","No Score",VLOOKUP(G150,Lookup_Performance!$A$2:$D$6,3,TRUE))</f>
        <v>Achieving</v>
      </c>
      <c r="M150" s="6">
        <f>IF(G150="",0,F150*VLOOKUP(G150,Lookup_Performance!$A$2:$D$6,4,TRUE))</f>
        <v>4654.7</v>
      </c>
    </row>
    <row r="151" spans="1:13" x14ac:dyDescent="0.35">
      <c r="A151" t="s">
        <v>194</v>
      </c>
      <c r="B151" t="s">
        <v>56</v>
      </c>
      <c r="C151" t="s">
        <v>8</v>
      </c>
      <c r="D151" t="s">
        <v>9</v>
      </c>
      <c r="E151" s="3">
        <v>43242</v>
      </c>
      <c r="F151" s="8">
        <v>118634</v>
      </c>
      <c r="G151">
        <v>91</v>
      </c>
      <c r="H151" t="s">
        <v>36</v>
      </c>
      <c r="I151" t="str">
        <f t="shared" si="4"/>
        <v>Amanda Brown</v>
      </c>
      <c r="J151" t="str">
        <f>VLOOKUP(D151,Lookup_Departments!$A$2:$B$7,2,FALSE)</f>
        <v>Information Technology</v>
      </c>
      <c r="K151">
        <f t="shared" ca="1" si="5"/>
        <v>8</v>
      </c>
      <c r="L151" t="str">
        <f>IF(G151="","No Score",VLOOKUP(G151,Lookup_Performance!$A$2:$D$6,3,TRUE))</f>
        <v>Exceeding</v>
      </c>
      <c r="M151" s="6">
        <f>IF(G151="",0,F151*VLOOKUP(G151,Lookup_Performance!$A$2:$D$6,4,TRUE))</f>
        <v>9490.7199999999993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F17" sqref="F17"/>
    </sheetView>
  </sheetViews>
  <sheetFormatPr defaultRowHeight="14.5" x14ac:dyDescent="0.35"/>
  <cols>
    <col min="1" max="1" width="20.08984375" customWidth="1"/>
    <col min="2" max="2" width="21.81640625" customWidth="1"/>
  </cols>
  <sheetData>
    <row r="1" spans="1:2" x14ac:dyDescent="0.35">
      <c r="A1" s="1" t="s">
        <v>195</v>
      </c>
      <c r="B1" s="1" t="s">
        <v>196</v>
      </c>
    </row>
    <row r="2" spans="1:2" x14ac:dyDescent="0.35">
      <c r="A2" t="s">
        <v>72</v>
      </c>
      <c r="B2" t="s">
        <v>197</v>
      </c>
    </row>
    <row r="3" spans="1:2" x14ac:dyDescent="0.35">
      <c r="A3" t="s">
        <v>9</v>
      </c>
      <c r="B3" t="s">
        <v>198</v>
      </c>
    </row>
    <row r="4" spans="1:2" x14ac:dyDescent="0.35">
      <c r="A4" t="s">
        <v>19</v>
      </c>
      <c r="B4" t="s">
        <v>199</v>
      </c>
    </row>
    <row r="5" spans="1:2" x14ac:dyDescent="0.35">
      <c r="A5" t="s">
        <v>13</v>
      </c>
      <c r="B5" t="s">
        <v>200</v>
      </c>
    </row>
    <row r="6" spans="1:2" x14ac:dyDescent="0.35">
      <c r="A6" t="s">
        <v>35</v>
      </c>
      <c r="B6" t="s">
        <v>201</v>
      </c>
    </row>
    <row r="7" spans="1:2" x14ac:dyDescent="0.35">
      <c r="A7" t="s">
        <v>26</v>
      </c>
      <c r="B7" t="s">
        <v>202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C11" sqref="A1:XFD1048576"/>
    </sheetView>
  </sheetViews>
  <sheetFormatPr defaultRowHeight="14.5" x14ac:dyDescent="0.35"/>
  <cols>
    <col min="1" max="1" width="12.6328125" customWidth="1"/>
    <col min="2" max="2" width="14.453125" customWidth="1"/>
    <col min="3" max="3" width="21.453125" customWidth="1"/>
    <col min="4" max="4" width="22.7265625" customWidth="1"/>
  </cols>
  <sheetData>
    <row r="1" spans="1:4" x14ac:dyDescent="0.35">
      <c r="A1" s="1" t="s">
        <v>203</v>
      </c>
      <c r="B1" s="1" t="s">
        <v>204</v>
      </c>
      <c r="C1" s="1" t="s">
        <v>205</v>
      </c>
      <c r="D1" s="1" t="s">
        <v>206</v>
      </c>
    </row>
    <row r="2" spans="1:4" x14ac:dyDescent="0.35">
      <c r="A2">
        <v>0</v>
      </c>
      <c r="B2">
        <v>49</v>
      </c>
      <c r="C2" t="s">
        <v>207</v>
      </c>
      <c r="D2">
        <v>0</v>
      </c>
    </row>
    <row r="3" spans="1:4" x14ac:dyDescent="0.35">
      <c r="A3">
        <v>50</v>
      </c>
      <c r="B3">
        <v>69</v>
      </c>
      <c r="C3" t="s">
        <v>208</v>
      </c>
      <c r="D3">
        <v>0.02</v>
      </c>
    </row>
    <row r="4" spans="1:4" x14ac:dyDescent="0.35">
      <c r="A4">
        <v>70</v>
      </c>
      <c r="B4">
        <v>84</v>
      </c>
      <c r="C4" t="s">
        <v>209</v>
      </c>
      <c r="D4">
        <v>0.05</v>
      </c>
    </row>
    <row r="5" spans="1:4" x14ac:dyDescent="0.35">
      <c r="A5">
        <v>85</v>
      </c>
      <c r="B5">
        <v>94</v>
      </c>
      <c r="C5" t="s">
        <v>210</v>
      </c>
      <c r="D5">
        <v>0.08</v>
      </c>
    </row>
    <row r="6" spans="1:4" x14ac:dyDescent="0.35">
      <c r="A6">
        <v>95</v>
      </c>
      <c r="B6">
        <v>100</v>
      </c>
      <c r="C6" t="s">
        <v>211</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433D-E8A0-4E9C-B51E-D7BCE33D36D0}">
  <dimension ref="A2:P21"/>
  <sheetViews>
    <sheetView workbookViewId="0">
      <selection activeCell="D1" sqref="D1"/>
    </sheetView>
  </sheetViews>
  <sheetFormatPr defaultRowHeight="14.5" x14ac:dyDescent="0.35"/>
  <cols>
    <col min="1" max="1" width="17.08984375" bestFit="1" customWidth="1"/>
    <col min="2" max="2" width="19.36328125" bestFit="1" customWidth="1"/>
    <col min="3" max="3" width="13.08984375" bestFit="1" customWidth="1"/>
    <col min="5" max="5" width="20.90625" bestFit="1" customWidth="1"/>
    <col min="6" max="7" width="6.81640625" bestFit="1" customWidth="1"/>
    <col min="8" max="8" width="8.26953125" bestFit="1" customWidth="1"/>
    <col min="9" max="9" width="10.7265625" bestFit="1" customWidth="1"/>
    <col min="10" max="10" width="15.6328125" customWidth="1"/>
    <col min="11" max="11" width="14.6328125" customWidth="1"/>
    <col min="12" max="12" width="20.453125" customWidth="1"/>
    <col min="13" max="13" width="14.6328125" bestFit="1" customWidth="1"/>
    <col min="15" max="15" width="18.7265625" bestFit="1" customWidth="1"/>
    <col min="16" max="16" width="26.1796875" bestFit="1" customWidth="1"/>
  </cols>
  <sheetData>
    <row r="2" spans="1:16" ht="21" x14ac:dyDescent="0.5">
      <c r="A2" s="14"/>
      <c r="B2" s="12" t="s">
        <v>228</v>
      </c>
      <c r="C2" s="14"/>
      <c r="E2" s="14"/>
      <c r="F2" s="13" t="s">
        <v>222</v>
      </c>
      <c r="G2" s="14"/>
      <c r="H2" s="13"/>
      <c r="I2" s="20"/>
      <c r="M2" s="14"/>
      <c r="O2" s="14" t="s">
        <v>230</v>
      </c>
      <c r="P2" s="14"/>
    </row>
    <row r="3" spans="1:16" x14ac:dyDescent="0.35">
      <c r="A3" s="9" t="s">
        <v>221</v>
      </c>
      <c r="B3" t="s">
        <v>220</v>
      </c>
      <c r="C3" s="8" t="s">
        <v>231</v>
      </c>
      <c r="E3" s="9" t="s">
        <v>221</v>
      </c>
      <c r="O3" s="9" t="s">
        <v>217</v>
      </c>
      <c r="P3" t="s">
        <v>227</v>
      </c>
    </row>
    <row r="4" spans="1:16" x14ac:dyDescent="0.35">
      <c r="A4" s="10" t="s">
        <v>199</v>
      </c>
      <c r="B4">
        <v>17</v>
      </c>
      <c r="C4" s="18">
        <v>87938.5</v>
      </c>
      <c r="F4" t="s">
        <v>36</v>
      </c>
      <c r="G4" t="s">
        <v>23</v>
      </c>
      <c r="H4" t="s">
        <v>84</v>
      </c>
      <c r="O4" s="10" t="s">
        <v>209</v>
      </c>
      <c r="P4" s="19">
        <v>144315.95000000001</v>
      </c>
    </row>
    <row r="5" spans="1:16" x14ac:dyDescent="0.35">
      <c r="A5" s="10" t="s">
        <v>197</v>
      </c>
      <c r="B5">
        <v>18</v>
      </c>
      <c r="C5" s="18">
        <v>85649.941176470587</v>
      </c>
      <c r="E5" s="10" t="s">
        <v>199</v>
      </c>
      <c r="F5" s="11">
        <v>0.1206896551724138</v>
      </c>
      <c r="G5" s="11">
        <v>0.125</v>
      </c>
      <c r="H5" s="11">
        <v>0</v>
      </c>
      <c r="O5" s="10" t="s">
        <v>210</v>
      </c>
      <c r="P5" s="19">
        <v>122683.12000000001</v>
      </c>
    </row>
    <row r="6" spans="1:16" x14ac:dyDescent="0.35">
      <c r="A6" s="10" t="s">
        <v>198</v>
      </c>
      <c r="B6">
        <v>36</v>
      </c>
      <c r="C6" s="18">
        <v>80014.258064516136</v>
      </c>
      <c r="E6" s="10" t="s">
        <v>197</v>
      </c>
      <c r="F6" s="11">
        <v>0.12931034482758622</v>
      </c>
      <c r="G6" s="11">
        <v>8.3333333333333329E-2</v>
      </c>
      <c r="H6" s="11">
        <v>0.1</v>
      </c>
      <c r="O6" s="10" t="s">
        <v>211</v>
      </c>
      <c r="P6" s="19">
        <v>82379.040000000008</v>
      </c>
    </row>
    <row r="7" spans="1:16" x14ac:dyDescent="0.35">
      <c r="A7" s="10" t="s">
        <v>200</v>
      </c>
      <c r="B7">
        <v>19</v>
      </c>
      <c r="C7" s="18">
        <v>84192.705882352937</v>
      </c>
      <c r="E7" s="10" t="s">
        <v>198</v>
      </c>
      <c r="F7" s="11">
        <v>0.2413793103448276</v>
      </c>
      <c r="G7" s="11">
        <v>0.25</v>
      </c>
      <c r="H7" s="11">
        <v>0.2</v>
      </c>
      <c r="O7" s="10" t="s">
        <v>208</v>
      </c>
      <c r="P7" s="19">
        <v>58138.3</v>
      </c>
    </row>
    <row r="8" spans="1:16" x14ac:dyDescent="0.35">
      <c r="A8" s="10" t="s">
        <v>202</v>
      </c>
      <c r="B8">
        <v>29</v>
      </c>
      <c r="C8" s="18">
        <v>79786.666666666672</v>
      </c>
      <c r="E8" s="10" t="s">
        <v>200</v>
      </c>
      <c r="F8" s="11">
        <v>0.13793103448275862</v>
      </c>
      <c r="G8" s="11">
        <v>0.125</v>
      </c>
      <c r="H8" s="11">
        <v>0</v>
      </c>
      <c r="O8" s="10" t="s">
        <v>226</v>
      </c>
      <c r="P8" s="19">
        <v>0</v>
      </c>
    </row>
    <row r="9" spans="1:16" x14ac:dyDescent="0.35">
      <c r="A9" s="10" t="s">
        <v>201</v>
      </c>
      <c r="B9">
        <v>31</v>
      </c>
      <c r="C9" s="18">
        <v>87282.34782608696</v>
      </c>
      <c r="E9" s="10" t="s">
        <v>202</v>
      </c>
      <c r="F9" s="11">
        <v>0.15517241379310345</v>
      </c>
      <c r="G9" s="11">
        <v>0.25</v>
      </c>
      <c r="H9" s="11">
        <v>0.5</v>
      </c>
      <c r="O9" s="10" t="s">
        <v>207</v>
      </c>
      <c r="P9" s="19">
        <v>0</v>
      </c>
    </row>
    <row r="10" spans="1:16" x14ac:dyDescent="0.35">
      <c r="E10" s="10" t="s">
        <v>201</v>
      </c>
      <c r="F10" s="11">
        <v>0.21551724137931033</v>
      </c>
      <c r="G10" s="11">
        <v>0.16666666666666666</v>
      </c>
      <c r="H10" s="11">
        <v>0.2</v>
      </c>
    </row>
    <row r="14" spans="1:16" ht="21" x14ac:dyDescent="0.5">
      <c r="A14" s="14" t="s">
        <v>229</v>
      </c>
      <c r="B14" s="14"/>
      <c r="C14" s="14"/>
      <c r="E14" s="14" t="s">
        <v>230</v>
      </c>
      <c r="F14" s="14"/>
    </row>
    <row r="15" spans="1:16" x14ac:dyDescent="0.35">
      <c r="A15" s="9" t="s">
        <v>225</v>
      </c>
      <c r="B15" t="s">
        <v>224</v>
      </c>
      <c r="C15" s="15"/>
      <c r="E15" s="9" t="s">
        <v>217</v>
      </c>
      <c r="F15" t="s">
        <v>227</v>
      </c>
    </row>
    <row r="16" spans="1:16" x14ac:dyDescent="0.35">
      <c r="A16" s="10" t="s">
        <v>36</v>
      </c>
      <c r="B16" s="22">
        <v>67.724770642201833</v>
      </c>
      <c r="C16" s="16"/>
      <c r="E16" s="10" t="s">
        <v>209</v>
      </c>
      <c r="F16" s="19">
        <v>144315.95000000001</v>
      </c>
    </row>
    <row r="17" spans="1:6" x14ac:dyDescent="0.35">
      <c r="A17" s="10" t="s">
        <v>23</v>
      </c>
      <c r="B17" s="22">
        <v>66.130434782608702</v>
      </c>
      <c r="C17" s="16"/>
      <c r="E17" s="10" t="s">
        <v>210</v>
      </c>
      <c r="F17" s="19">
        <v>122683.12000000001</v>
      </c>
    </row>
    <row r="18" spans="1:6" x14ac:dyDescent="0.35">
      <c r="A18" s="10" t="s">
        <v>84</v>
      </c>
      <c r="B18" s="22">
        <v>76.400000000000006</v>
      </c>
      <c r="C18" s="16"/>
      <c r="E18" s="10" t="s">
        <v>211</v>
      </c>
      <c r="F18" s="19">
        <v>82379.040000000008</v>
      </c>
    </row>
    <row r="19" spans="1:6" x14ac:dyDescent="0.35">
      <c r="E19" s="10" t="s">
        <v>208</v>
      </c>
      <c r="F19" s="19">
        <v>58138.3</v>
      </c>
    </row>
    <row r="20" spans="1:6" x14ac:dyDescent="0.35">
      <c r="E20" s="10" t="s">
        <v>226</v>
      </c>
      <c r="F20" s="19">
        <v>0</v>
      </c>
    </row>
    <row r="21" spans="1:6" x14ac:dyDescent="0.35">
      <c r="E21" s="10" t="s">
        <v>207</v>
      </c>
      <c r="F21" s="1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C611-BEBE-4C4F-A719-655BCBBB4251}">
  <dimension ref="A2:I5"/>
  <sheetViews>
    <sheetView workbookViewId="0">
      <selection activeCell="H5" sqref="H5"/>
    </sheetView>
  </sheetViews>
  <sheetFormatPr defaultRowHeight="14.5" x14ac:dyDescent="0.35"/>
  <cols>
    <col min="1" max="1" width="13.81640625" bestFit="1" customWidth="1"/>
    <col min="3" max="3" width="13.08984375" bestFit="1" customWidth="1"/>
    <col min="5" max="5" width="12.36328125" bestFit="1" customWidth="1"/>
    <col min="6" max="6" width="14.90625" bestFit="1" customWidth="1"/>
    <col min="7" max="7" width="11.90625" bestFit="1" customWidth="1"/>
    <col min="8" max="8" width="10" customWidth="1"/>
    <col min="9" max="9" width="8.7265625" customWidth="1"/>
  </cols>
  <sheetData>
    <row r="2" spans="1:9" x14ac:dyDescent="0.35">
      <c r="A2" t="s">
        <v>232</v>
      </c>
      <c r="C2" t="s">
        <v>231</v>
      </c>
      <c r="E2" s="9" t="s">
        <v>219</v>
      </c>
      <c r="F2" t="s">
        <v>233</v>
      </c>
      <c r="G2" t="s">
        <v>223</v>
      </c>
      <c r="H2" s="20"/>
      <c r="I2" s="20"/>
    </row>
    <row r="3" spans="1:9" x14ac:dyDescent="0.35">
      <c r="A3">
        <v>150</v>
      </c>
      <c r="C3" s="18">
        <v>83415.813953488367</v>
      </c>
      <c r="E3" s="10" t="s">
        <v>36</v>
      </c>
      <c r="F3">
        <v>116</v>
      </c>
      <c r="G3" s="11">
        <v>0.77333333333333332</v>
      </c>
      <c r="H3" s="21"/>
      <c r="I3" s="20"/>
    </row>
    <row r="4" spans="1:9" x14ac:dyDescent="0.35">
      <c r="E4" s="10" t="s">
        <v>23</v>
      </c>
      <c r="F4">
        <v>24</v>
      </c>
      <c r="G4" s="11">
        <v>0.16</v>
      </c>
      <c r="H4" s="17"/>
    </row>
    <row r="5" spans="1:9" x14ac:dyDescent="0.35">
      <c r="E5" s="10" t="s">
        <v>84</v>
      </c>
      <c r="F5">
        <v>10</v>
      </c>
      <c r="G5" s="11">
        <v>6.6666666666666666E-2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E88F-69D3-48C5-90D0-90D711D61363}">
  <dimension ref="A1"/>
  <sheetViews>
    <sheetView showGridLines="0" tabSelected="1" zoomScale="70" zoomScaleNormal="70" zoomScaleSheetLayoutView="65" workbookViewId="0">
      <selection activeCell="C5" sqref="C5"/>
    </sheetView>
  </sheetViews>
  <sheetFormatPr defaultRowHeight="14.5" x14ac:dyDescent="0.35"/>
  <cols>
    <col min="1" max="16384" width="8.726562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Lookup_Departments</vt:lpstr>
      <vt:lpstr>Lookup_Performance</vt:lpstr>
      <vt:lpstr>Analysis</vt:lpstr>
      <vt:lpstr>KPIs</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Nafeesah Siraj</cp:lastModifiedBy>
  <cp:lastPrinted>2026-07-05T07:33:02Z</cp:lastPrinted>
  <dcterms:created xsi:type="dcterms:W3CDTF">2026-06-04T20:20:01Z</dcterms:created>
  <dcterms:modified xsi:type="dcterms:W3CDTF">2026-07-05T17:15:35Z</dcterms:modified>
</cp:coreProperties>
</file>